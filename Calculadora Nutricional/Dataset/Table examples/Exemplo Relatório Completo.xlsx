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SKTOP\OneDrive - So Izi Food Solution (IzidoroePlocharski)\Área de Trabalho\ProCooking\Cappuccino\"/>
    </mc:Choice>
  </mc:AlternateContent>
  <bookViews>
    <workbookView xWindow="0" yWindow="0" windowWidth="20490" windowHeight="10035" tabRatio="500"/>
  </bookViews>
  <sheets>
    <sheet name="Tabela" sheetId="1" r:id="rId1"/>
    <sheet name="Relatório Completo" sheetId="2" r:id="rId2"/>
    <sheet name="Planilha1" sheetId="3" state="hidden" r:id="rId3"/>
  </sheets>
  <calcPr calcId="162913"/>
</workbook>
</file>

<file path=xl/calcChain.xml><?xml version="1.0" encoding="utf-8"?>
<calcChain xmlns="http://schemas.openxmlformats.org/spreadsheetml/2006/main">
  <c r="E24" i="3" l="1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</calcChain>
</file>

<file path=xl/sharedStrings.xml><?xml version="1.0" encoding="utf-8"?>
<sst xmlns="http://schemas.openxmlformats.org/spreadsheetml/2006/main" count="147" uniqueCount="78">
  <si>
    <t>TABELA DE INFORMAÇÃO NUTRICIONAL</t>
  </si>
  <si>
    <t>INFORMAÇÃO NUTRICIONAL</t>
  </si>
  <si>
    <t>Porção: 100 ml (Xícaras ou copos)</t>
  </si>
  <si>
    <t>100 g</t>
  </si>
  <si>
    <t>%VD*</t>
  </si>
  <si>
    <t>Valor energético (kcal)</t>
  </si>
  <si>
    <t>386</t>
  </si>
  <si>
    <t>Carboidratos (g)</t>
  </si>
  <si>
    <t>93</t>
  </si>
  <si>
    <r>
      <rPr>
        <sz val="8"/>
        <color rgb="FFFFFFFF"/>
        <rFont val="Arial"/>
      </rPr>
      <t>n</t>
    </r>
    <r>
      <rPr>
        <sz val="8"/>
        <color rgb="FF000000"/>
        <rFont val="Arial"/>
      </rPr>
      <t>Açúcares totais (g)</t>
    </r>
  </si>
  <si>
    <t>80</t>
  </si>
  <si>
    <r>
      <rPr>
        <sz val="8"/>
        <color rgb="FFFFFFFF"/>
        <rFont val="Arial"/>
      </rPr>
      <t>nn</t>
    </r>
    <r>
      <rPr>
        <sz val="8"/>
        <color rgb="FF000000"/>
        <rFont val="Arial"/>
      </rPr>
      <t>Açúcares adicionados (g)</t>
    </r>
  </si>
  <si>
    <t>Proteínas (g)</t>
  </si>
  <si>
    <t>1,7</t>
  </si>
  <si>
    <t>Gorduras totais (g)</t>
  </si>
  <si>
    <t>0,8</t>
  </si>
  <si>
    <r>
      <rPr>
        <sz val="8"/>
        <color rgb="FFFFFFFF"/>
        <rFont val="Arial"/>
      </rPr>
      <t>n</t>
    </r>
    <r>
      <rPr>
        <sz val="8"/>
        <color rgb="FF000000"/>
        <rFont val="Arial"/>
      </rPr>
      <t>Gorduras saturadas (g)</t>
    </r>
  </si>
  <si>
    <t>0,3</t>
  </si>
  <si>
    <r>
      <rPr>
        <sz val="8"/>
        <color rgb="FFFFFFFF"/>
        <rFont val="Arial"/>
      </rPr>
      <t>n</t>
    </r>
    <r>
      <rPr>
        <sz val="8"/>
        <color rgb="FF000000"/>
        <rFont val="Arial"/>
      </rPr>
      <t>Gorduras trans (g)</t>
    </r>
  </si>
  <si>
    <t>Fibras alimentares (g)</t>
  </si>
  <si>
    <t>1,3</t>
  </si>
  <si>
    <t xml:space="preserve">Sódio (mg) </t>
  </si>
  <si>
    <t>337</t>
  </si>
  <si>
    <t>* Percentual de valores diários fornecidos pela porção.</t>
  </si>
  <si>
    <t>RELATÓRIO COMPLETO</t>
  </si>
  <si>
    <t>Nome do Produto</t>
  </si>
  <si>
    <t>Mistura para o Preparo de Cappuccino</t>
  </si>
  <si>
    <t>Valor da porção</t>
  </si>
  <si>
    <t>Referências base</t>
  </si>
  <si>
    <t>RDC n° 429/2020 e IN n° 75/2020 - ANVISA, Database USDA (SR &amp; FNDDS Data)</t>
  </si>
  <si>
    <t>Medida caseira</t>
  </si>
  <si>
    <t>Xícaras ou copos</t>
  </si>
  <si>
    <t>Rendimento da formulação</t>
  </si>
  <si>
    <t>100.000</t>
  </si>
  <si>
    <t>Grupo para VDR</t>
  </si>
  <si>
    <t>&gt;= 19 anos</t>
  </si>
  <si>
    <t>Grupo (Anexo V)</t>
  </si>
  <si>
    <t>Grupo VII: Açúcares e produtos com energia proveniente de carboidratos e gorduras (Valor energético médio da porção é 100 kcal)</t>
  </si>
  <si>
    <t>Alimento do grupo selecionado</t>
  </si>
  <si>
    <t>Bebidas não alcoólicas, carbonadas ou não (chás, bebidas à base de soja e refrigerantes)</t>
  </si>
  <si>
    <t>Nutriente</t>
  </si>
  <si>
    <t xml:space="preserve">Valor para 100g </t>
  </si>
  <si>
    <t>Valor para a porção</t>
  </si>
  <si>
    <t>% VD - porção</t>
  </si>
  <si>
    <t>Ingrediente da formulação</t>
  </si>
  <si>
    <t>Quantidade (g)</t>
  </si>
  <si>
    <t>Açúcar Refinado</t>
  </si>
  <si>
    <t>79.990</t>
  </si>
  <si>
    <t>156</t>
  </si>
  <si>
    <t>31</t>
  </si>
  <si>
    <t>30</t>
  </si>
  <si>
    <t>0,02</t>
  </si>
  <si>
    <t>0,01</t>
  </si>
  <si>
    <t>0,27</t>
  </si>
  <si>
    <t>2,3</t>
  </si>
  <si>
    <t>17</t>
  </si>
  <si>
    <t>0,14</t>
  </si>
  <si>
    <t>0,84</t>
  </si>
  <si>
    <t>50</t>
  </si>
  <si>
    <t>44</t>
  </si>
  <si>
    <t>0,29</t>
  </si>
  <si>
    <t>346</t>
  </si>
  <si>
    <t>1,5</t>
  </si>
  <si>
    <t>0,26</t>
  </si>
  <si>
    <t>8,9</t>
  </si>
  <si>
    <t>2,2</t>
  </si>
  <si>
    <t>Cacau em pó</t>
  </si>
  <si>
    <t>Canela</t>
  </si>
  <si>
    <t>3.330</t>
  </si>
  <si>
    <t>8.330</t>
  </si>
  <si>
    <t>0.100</t>
  </si>
  <si>
    <t>0.850</t>
  </si>
  <si>
    <t>5.170</t>
  </si>
  <si>
    <t>2.230</t>
  </si>
  <si>
    <t>Aditivos</t>
  </si>
  <si>
    <t xml:space="preserve">MALTODEXTRINA </t>
  </si>
  <si>
    <t xml:space="preserve">Sal </t>
  </si>
  <si>
    <t>Café Instantâneo em Pó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</si>
</sst>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0" x14ac:knownFonts="1">
    <font>
      <sz val="10"/>
      <color rgb="FF000000"/>
      <name val="Arial"/>
    </font>
    <font>
      <b/>
      <sz val="10"/>
      <color rgb="FF000000"/>
      <name val="Arial"/>
    </font>
    <font>
      <sz val="8"/>
      <color rgb="FF000000"/>
      <name val="Arial"/>
    </font>
    <font>
      <b/>
      <sz val="8"/>
      <color rgb="FF000000"/>
      <name val="Arial"/>
    </font>
    <font>
      <sz val="8"/>
      <color rgb="FFFFFFFF"/>
      <name val="Arial"/>
    </font>
    <font>
      <sz val="6"/>
      <color rgb="FF000000"/>
      <name val="Arial"/>
    </font>
    <font>
      <b/>
      <sz val="11"/>
      <color rgb="FF000000"/>
      <name val="Calibri"/>
    </font>
    <font>
      <b/>
      <sz val="11"/>
      <color rgb="FFFF0000"/>
      <name val="Calibri"/>
    </font>
    <font>
      <sz val="11"/>
      <color rgb="FF000000"/>
      <name val="Calibri"/>
    </font>
    <font>
      <b/>
      <i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A6099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 applyProtection="1"/>
    <xf numFmtId="0" fontId="0" fillId="0" borderId="1" xfId="0" applyBorder="1" applyProtection="1"/>
    <xf numFmtId="0" fontId="1" fillId="2" borderId="3" xfId="0" applyFont="1" applyFill="1" applyBorder="1" applyAlignment="1" applyProtection="1">
      <alignment horizontal="center" vertical="center"/>
    </xf>
    <xf numFmtId="0" fontId="2" fillId="2" borderId="4" xfId="0" applyFont="1" applyFill="1" applyBorder="1" applyAlignment="1" applyProtection="1">
      <alignment horizontal="left" vertical="top"/>
    </xf>
    <xf numFmtId="0" fontId="2" fillId="2" borderId="6" xfId="0" applyFont="1" applyFill="1" applyBorder="1" applyAlignment="1" applyProtection="1">
      <alignment horizontal="left" vertical="top"/>
    </xf>
    <xf numFmtId="0" fontId="3" fillId="2" borderId="4" xfId="0" applyFont="1" applyFill="1" applyBorder="1" applyAlignment="1" applyProtection="1">
      <alignment horizontal="center" vertical="center"/>
    </xf>
    <xf numFmtId="0" fontId="3" fillId="2" borderId="7" xfId="0" applyFont="1" applyFill="1" applyBorder="1" applyAlignment="1" applyProtection="1">
      <alignment horizontal="center" vertical="center"/>
    </xf>
    <xf numFmtId="0" fontId="3" fillId="2" borderId="8" xfId="0" applyFont="1" applyFill="1" applyBorder="1" applyAlignment="1" applyProtection="1">
      <alignment horizontal="center" vertical="center"/>
    </xf>
    <xf numFmtId="0" fontId="3" fillId="2" borderId="9" xfId="0" applyFont="1" applyFill="1" applyBorder="1" applyAlignment="1" applyProtection="1">
      <alignment horizontal="center" vertical="center"/>
    </xf>
    <xf numFmtId="0" fontId="3" fillId="2" borderId="6" xfId="0" applyFont="1" applyFill="1" applyBorder="1" applyAlignment="1" applyProtection="1">
      <alignment horizontal="center" vertical="center"/>
    </xf>
    <xf numFmtId="49" fontId="2" fillId="2" borderId="4" xfId="0" applyNumberFormat="1" applyFont="1" applyFill="1" applyBorder="1" applyAlignment="1" applyProtection="1">
      <alignment horizontal="left" vertical="center"/>
    </xf>
    <xf numFmtId="0" fontId="2" fillId="0" borderId="10" xfId="0" applyFont="1" applyBorder="1" applyAlignment="1" applyProtection="1">
      <alignment vertical="center"/>
    </xf>
    <xf numFmtId="49" fontId="2" fillId="0" borderId="11" xfId="0" applyNumberFormat="1" applyFont="1" applyBorder="1" applyAlignment="1" applyProtection="1">
      <alignment horizontal="center" vertical="center"/>
    </xf>
    <xf numFmtId="49" fontId="2" fillId="0" borderId="2" xfId="0" applyNumberFormat="1" applyFont="1" applyBorder="1" applyAlignment="1" applyProtection="1">
      <alignment horizontal="center" vertical="center"/>
    </xf>
    <xf numFmtId="0" fontId="2" fillId="0" borderId="6" xfId="0" applyFont="1" applyBorder="1" applyAlignment="1" applyProtection="1">
      <alignment horizontal="center"/>
    </xf>
    <xf numFmtId="0" fontId="4" fillId="0" borderId="10" xfId="0" applyFont="1" applyBorder="1" applyAlignment="1" applyProtection="1">
      <alignment vertical="center"/>
    </xf>
    <xf numFmtId="0" fontId="2" fillId="2" borderId="4" xfId="0" applyFont="1" applyFill="1" applyBorder="1" applyAlignment="1" applyProtection="1">
      <alignment vertical="center"/>
    </xf>
    <xf numFmtId="3" fontId="2" fillId="0" borderId="6" xfId="0" applyNumberFormat="1" applyFont="1" applyBorder="1" applyAlignment="1" applyProtection="1">
      <alignment horizontal="center" vertical="center"/>
    </xf>
    <xf numFmtId="0" fontId="2" fillId="0" borderId="7" xfId="0" applyFont="1" applyBorder="1" applyAlignment="1" applyProtection="1">
      <alignment vertical="center"/>
    </xf>
    <xf numFmtId="0" fontId="5" fillId="2" borderId="12" xfId="0" applyFont="1" applyFill="1" applyBorder="1" applyAlignment="1" applyProtection="1">
      <alignment horizontal="left" vertical="top"/>
    </xf>
    <xf numFmtId="0" fontId="5" fillId="2" borderId="7" xfId="0" applyFont="1" applyFill="1" applyBorder="1" applyAlignment="1" applyProtection="1">
      <alignment horizontal="left" vertical="top"/>
    </xf>
    <xf numFmtId="0" fontId="2" fillId="2" borderId="0" xfId="0" applyFont="1" applyFill="1" applyAlignment="1" applyProtection="1">
      <alignment vertical="center"/>
    </xf>
    <xf numFmtId="0" fontId="0" fillId="0" borderId="0" xfId="0" applyAlignment="1" applyProtection="1">
      <alignment horizontal="left" vertical="center" wrapText="1"/>
    </xf>
    <xf numFmtId="0" fontId="0" fillId="0" borderId="0" xfId="0" applyAlignment="1" applyProtection="1">
      <alignment horizontal="left" vertical="center" wrapText="1"/>
    </xf>
    <xf numFmtId="0" fontId="6" fillId="0" borderId="0" xfId="0" applyFont="1" applyProtection="1"/>
    <xf numFmtId="0" fontId="0" fillId="0" borderId="0" xfId="0" applyProtection="1"/>
    <xf numFmtId="0" fontId="7" fillId="0" borderId="0" xfId="0" applyFont="1" applyProtection="1"/>
    <xf numFmtId="0" fontId="1" fillId="0" borderId="0" xfId="0" applyFont="1" applyProtection="1"/>
    <xf numFmtId="0" fontId="8" fillId="0" borderId="0" xfId="0" applyFont="1" applyProtection="1"/>
    <xf numFmtId="164" fontId="0" fillId="0" borderId="0" xfId="0" applyNumberFormat="1" applyProtection="1"/>
    <xf numFmtId="0" fontId="7" fillId="0" borderId="0" xfId="0" applyFont="1" applyProtection="1"/>
    <xf numFmtId="164" fontId="8" fillId="0" borderId="0" xfId="0" applyNumberFormat="1" applyFont="1" applyProtection="1"/>
    <xf numFmtId="164" fontId="9" fillId="0" borderId="0" xfId="0" applyNumberFormat="1" applyFont="1" applyProtection="1"/>
    <xf numFmtId="164" fontId="6" fillId="0" borderId="0" xfId="0" applyNumberFormat="1" applyFont="1" applyProtection="1"/>
    <xf numFmtId="164" fontId="7" fillId="0" borderId="0" xfId="0" applyNumberFormat="1" applyFont="1" applyProtection="1"/>
    <xf numFmtId="0" fontId="1" fillId="0" borderId="0" xfId="0" applyFont="1" applyAlignment="1" applyProtection="1">
      <alignment horizontal="left" vertical="center"/>
    </xf>
    <xf numFmtId="0" fontId="0" fillId="0" borderId="0" xfId="0" applyAlignment="1" applyProtection="1">
      <alignment horizontal="left" vertical="center"/>
    </xf>
    <xf numFmtId="0" fontId="1" fillId="0" borderId="14" xfId="0" applyFont="1" applyBorder="1" applyAlignment="1" applyProtection="1">
      <alignment horizontal="left" vertical="center"/>
    </xf>
    <xf numFmtId="0" fontId="1" fillId="0" borderId="14" xfId="0" applyFont="1" applyBorder="1" applyAlignment="1" applyProtection="1">
      <alignment horizontal="center" vertical="center"/>
    </xf>
    <xf numFmtId="0" fontId="0" fillId="0" borderId="8" xfId="0" applyBorder="1" applyProtection="1"/>
    <xf numFmtId="49" fontId="0" fillId="0" borderId="8" xfId="0" applyNumberFormat="1" applyBorder="1" applyAlignment="1" applyProtection="1">
      <alignment horizontal="center"/>
    </xf>
    <xf numFmtId="49" fontId="0" fillId="0" borderId="8" xfId="0" applyNumberFormat="1" applyBorder="1" applyAlignment="1" applyProtection="1">
      <alignment horizontal="center" vertical="center"/>
    </xf>
    <xf numFmtId="0" fontId="0" fillId="0" borderId="14" xfId="0" applyBorder="1" applyProtection="1"/>
    <xf numFmtId="0" fontId="0" fillId="0" borderId="14" xfId="0" applyBorder="1" applyAlignment="1" applyProtection="1">
      <alignment horizontal="center" vertical="center"/>
    </xf>
    <xf numFmtId="2" fontId="0" fillId="0" borderId="0" xfId="0" applyNumberFormat="1" applyProtection="1"/>
    <xf numFmtId="2" fontId="3" fillId="2" borderId="7" xfId="0" applyNumberFormat="1" applyFont="1" applyFill="1" applyBorder="1" applyAlignment="1" applyProtection="1">
      <alignment horizontal="center" vertical="center"/>
    </xf>
    <xf numFmtId="2" fontId="3" fillId="2" borderId="8" xfId="0" applyNumberFormat="1" applyFont="1" applyFill="1" applyBorder="1" applyAlignment="1" applyProtection="1">
      <alignment horizontal="center" vertical="center"/>
    </xf>
    <xf numFmtId="2" fontId="3" fillId="2" borderId="9" xfId="0" applyNumberFormat="1" applyFont="1" applyFill="1" applyBorder="1" applyAlignment="1" applyProtection="1">
      <alignment horizontal="center" vertical="center"/>
    </xf>
    <xf numFmtId="2" fontId="2" fillId="0" borderId="10" xfId="0" applyNumberFormat="1" applyFont="1" applyBorder="1" applyAlignment="1" applyProtection="1">
      <alignment vertical="center"/>
    </xf>
    <xf numFmtId="2" fontId="2" fillId="0" borderId="11" xfId="0" applyNumberFormat="1" applyFont="1" applyBorder="1" applyAlignment="1" applyProtection="1">
      <alignment horizontal="center" vertical="center"/>
    </xf>
    <xf numFmtId="2" fontId="2" fillId="0" borderId="2" xfId="0" applyNumberFormat="1" applyFont="1" applyBorder="1" applyAlignment="1" applyProtection="1">
      <alignment horizontal="center" vertical="center"/>
    </xf>
    <xf numFmtId="2" fontId="4" fillId="0" borderId="10" xfId="0" applyNumberFormat="1" applyFont="1" applyBorder="1" applyAlignment="1" applyProtection="1">
      <alignment vertical="center"/>
    </xf>
    <xf numFmtId="2" fontId="2" fillId="0" borderId="7" xfId="0" applyNumberFormat="1" applyFont="1" applyBorder="1" applyAlignment="1" applyProtection="1">
      <alignment vertical="center"/>
    </xf>
    <xf numFmtId="0" fontId="1" fillId="0" borderId="0" xfId="0" applyFont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center" vertical="center"/>
    </xf>
    <xf numFmtId="0" fontId="2" fillId="2" borderId="5" xfId="0" applyFont="1" applyFill="1" applyBorder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/>
    </xf>
    <xf numFmtId="0" fontId="5" fillId="2" borderId="13" xfId="0" applyFont="1" applyFill="1" applyBorder="1" applyAlignment="1" applyProtection="1">
      <alignment horizontal="left" vertical="top"/>
    </xf>
    <xf numFmtId="2" fontId="1" fillId="2" borderId="2" xfId="0" applyNumberFormat="1" applyFont="1" applyFill="1" applyBorder="1" applyAlignment="1" applyProtection="1">
      <alignment horizontal="center" vertical="center"/>
    </xf>
    <xf numFmtId="2" fontId="2" fillId="2" borderId="5" xfId="0" applyNumberFormat="1" applyFont="1" applyFill="1" applyBorder="1" applyAlignment="1" applyProtection="1">
      <alignment horizontal="left" vertical="center"/>
    </xf>
    <xf numFmtId="2" fontId="2" fillId="2" borderId="0" xfId="0" applyNumberFormat="1" applyFont="1" applyFill="1" applyAlignment="1" applyProtection="1">
      <alignment horizontal="center" vertical="center"/>
    </xf>
    <xf numFmtId="2" fontId="5" fillId="2" borderId="13" xfId="0" applyNumberFormat="1" applyFont="1" applyFill="1" applyBorder="1" applyAlignment="1" applyProtection="1">
      <alignment horizontal="lef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247650</xdr:colOff>
      <xdr:row>0</xdr:row>
      <xdr:rowOff>28575</xdr:rowOff>
    </xdr:from>
    <xdr:to>
      <xdr:col>11</xdr:col>
      <xdr:colOff>95250</xdr:colOff>
      <xdr:row>63</xdr:row>
      <xdr:rowOff>153643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48200" y="28575"/>
          <a:ext cx="5095875" cy="103549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208"/>
  <sheetViews>
    <sheetView tabSelected="1" zoomScale="150" zoomScaleNormal="150" workbookViewId="0">
      <selection activeCell="I13" sqref="I13"/>
    </sheetView>
  </sheetViews>
  <sheetFormatPr defaultColWidth="10.7109375" defaultRowHeight="12.75" x14ac:dyDescent="0.2"/>
  <cols>
    <col min="2" max="2" width="0.7109375" customWidth="1"/>
    <col min="3" max="3" width="26.85546875" customWidth="1"/>
    <col min="4" max="4" width="7.85546875" customWidth="1"/>
    <col min="5" max="5" width="10.85546875" customWidth="1"/>
    <col min="6" max="6" width="0.7109375" customWidth="1"/>
    <col min="10" max="10" width="5.42578125" customWidth="1"/>
    <col min="11" max="14" width="38.7109375" customWidth="1"/>
    <col min="15" max="15" width="4.140625" customWidth="1"/>
    <col min="16" max="16" width="32.140625" customWidth="1"/>
    <col min="1024" max="1024" width="11.5703125" customWidth="1"/>
  </cols>
  <sheetData>
    <row r="2" spans="1:7" ht="12.75" customHeight="1" x14ac:dyDescent="0.2">
      <c r="A2" s="53" t="s">
        <v>0</v>
      </c>
      <c r="B2" s="53"/>
      <c r="C2" s="53"/>
      <c r="D2" s="53"/>
      <c r="E2" s="53"/>
      <c r="F2" s="53"/>
      <c r="G2" s="53"/>
    </row>
    <row r="3" spans="1:7" ht="12.75" customHeight="1" x14ac:dyDescent="0.2">
      <c r="A3" s="53"/>
      <c r="B3" s="53"/>
      <c r="C3" s="53"/>
      <c r="D3" s="53"/>
      <c r="E3" s="53"/>
      <c r="F3" s="53"/>
      <c r="G3" s="53"/>
    </row>
    <row r="5" spans="1:7" ht="12.75" customHeight="1" x14ac:dyDescent="0.2">
      <c r="B5" s="1"/>
      <c r="C5" s="54" t="s">
        <v>1</v>
      </c>
      <c r="D5" s="54"/>
      <c r="E5" s="54"/>
      <c r="F5" s="2"/>
    </row>
    <row r="6" spans="1:7" ht="12" customHeight="1" x14ac:dyDescent="0.2">
      <c r="B6" s="3"/>
      <c r="C6" s="55" t="s">
        <v>2</v>
      </c>
      <c r="D6" s="55"/>
      <c r="E6" s="55"/>
      <c r="F6" s="4"/>
    </row>
    <row r="7" spans="1:7" ht="4.1500000000000004" customHeight="1" x14ac:dyDescent="0.2">
      <c r="B7" s="3"/>
      <c r="C7" s="56"/>
      <c r="D7" s="56"/>
      <c r="E7" s="56"/>
      <c r="F7" s="4"/>
    </row>
    <row r="8" spans="1:7" ht="12.75" customHeight="1" x14ac:dyDescent="0.2">
      <c r="B8" s="5"/>
      <c r="C8" s="6"/>
      <c r="D8" s="7" t="s">
        <v>3</v>
      </c>
      <c r="E8" s="8" t="s">
        <v>4</v>
      </c>
      <c r="F8" s="9"/>
    </row>
    <row r="9" spans="1:7" ht="12.75" customHeight="1" x14ac:dyDescent="0.2">
      <c r="B9" s="10"/>
      <c r="C9" s="11" t="s">
        <v>5</v>
      </c>
      <c r="D9" s="12" t="s">
        <v>6</v>
      </c>
      <c r="E9" s="13">
        <v>19</v>
      </c>
      <c r="F9" s="14"/>
    </row>
    <row r="10" spans="1:7" ht="12.75" customHeight="1" x14ac:dyDescent="0.2">
      <c r="B10" s="10"/>
      <c r="C10" s="11" t="s">
        <v>7</v>
      </c>
      <c r="D10" s="12" t="s">
        <v>8</v>
      </c>
      <c r="E10" s="13">
        <v>31</v>
      </c>
      <c r="F10" s="14"/>
    </row>
    <row r="11" spans="1:7" ht="12.75" customHeight="1" x14ac:dyDescent="0.2">
      <c r="B11" s="10"/>
      <c r="C11" s="15" t="s">
        <v>9</v>
      </c>
      <c r="D11" s="12" t="s">
        <v>10</v>
      </c>
      <c r="E11" s="13"/>
      <c r="F11" s="14"/>
    </row>
    <row r="12" spans="1:7" ht="12.75" customHeight="1" x14ac:dyDescent="0.2">
      <c r="B12" s="10"/>
      <c r="C12" s="15" t="s">
        <v>11</v>
      </c>
      <c r="D12" s="12" t="s">
        <v>10</v>
      </c>
      <c r="E12" s="13">
        <v>160</v>
      </c>
      <c r="F12" s="14"/>
    </row>
    <row r="13" spans="1:7" ht="12.75" customHeight="1" x14ac:dyDescent="0.2">
      <c r="B13" s="16"/>
      <c r="C13" s="11" t="s">
        <v>12</v>
      </c>
      <c r="D13" s="12" t="s">
        <v>13</v>
      </c>
      <c r="E13" s="13">
        <v>3</v>
      </c>
      <c r="F13" s="17"/>
    </row>
    <row r="14" spans="1:7" ht="12.75" customHeight="1" x14ac:dyDescent="0.2">
      <c r="B14" s="16"/>
      <c r="C14" s="11" t="s">
        <v>14</v>
      </c>
      <c r="D14" s="12" t="s">
        <v>15</v>
      </c>
      <c r="E14" s="13">
        <v>1</v>
      </c>
      <c r="F14" s="17"/>
    </row>
    <row r="15" spans="1:7" ht="12.75" customHeight="1" x14ac:dyDescent="0.2">
      <c r="B15" s="16"/>
      <c r="C15" s="15" t="s">
        <v>16</v>
      </c>
      <c r="D15" s="12" t="s">
        <v>17</v>
      </c>
      <c r="E15" s="13">
        <v>2</v>
      </c>
      <c r="F15" s="17"/>
    </row>
    <row r="16" spans="1:7" ht="12.75" customHeight="1" x14ac:dyDescent="0.2">
      <c r="B16" s="16"/>
      <c r="C16" s="15" t="s">
        <v>18</v>
      </c>
      <c r="D16" s="12">
        <v>0</v>
      </c>
      <c r="E16" s="13">
        <v>0</v>
      </c>
      <c r="F16" s="17"/>
    </row>
    <row r="17" spans="2:15" ht="12.75" customHeight="1" x14ac:dyDescent="0.2">
      <c r="B17" s="16"/>
      <c r="C17" s="11" t="s">
        <v>19</v>
      </c>
      <c r="D17" s="12" t="s">
        <v>20</v>
      </c>
      <c r="E17" s="13">
        <v>5</v>
      </c>
      <c r="F17" s="17"/>
    </row>
    <row r="18" spans="2:15" ht="12.75" customHeight="1" x14ac:dyDescent="0.2">
      <c r="B18" s="16"/>
      <c r="C18" s="18" t="s">
        <v>21</v>
      </c>
      <c r="D18" s="12" t="s">
        <v>22</v>
      </c>
      <c r="E18" s="13">
        <v>17</v>
      </c>
      <c r="F18" s="17"/>
    </row>
    <row r="19" spans="2:15" ht="12.75" customHeight="1" x14ac:dyDescent="0.2">
      <c r="B19" s="19"/>
      <c r="C19" s="57" t="s">
        <v>23</v>
      </c>
      <c r="D19" s="57"/>
      <c r="E19" s="57"/>
      <c r="F19" s="20"/>
    </row>
    <row r="21" spans="2:15" ht="12.75" customHeight="1" x14ac:dyDescent="0.2">
      <c r="B21" s="21"/>
      <c r="C21" s="21"/>
    </row>
    <row r="23" spans="2:15" ht="12.75" customHeight="1" x14ac:dyDescent="0.2">
      <c r="B23" s="22"/>
      <c r="C23" s="22"/>
      <c r="D23" s="23"/>
      <c r="E23" s="23"/>
      <c r="F23" s="23"/>
    </row>
    <row r="24" spans="2:15" ht="12.75" customHeight="1" x14ac:dyDescent="0.2">
      <c r="B24" s="23"/>
      <c r="C24" s="23"/>
      <c r="D24" s="23"/>
      <c r="E24" s="23"/>
      <c r="F24" s="23"/>
    </row>
    <row r="26" spans="2:15" ht="13.9" customHeight="1" x14ac:dyDescent="0.25">
      <c r="B26" s="24"/>
      <c r="C26" s="24"/>
      <c r="D26" s="25"/>
      <c r="E26" s="25"/>
      <c r="F26" s="25"/>
    </row>
    <row r="27" spans="2:15" ht="12" customHeight="1" x14ac:dyDescent="0.25">
      <c r="B27" s="26"/>
      <c r="C27" s="26"/>
    </row>
    <row r="28" spans="2:15" ht="12.75" customHeight="1" x14ac:dyDescent="0.2">
      <c r="B28" s="27"/>
      <c r="C28" s="27"/>
    </row>
    <row r="29" spans="2:15" ht="13.9" customHeight="1" x14ac:dyDescent="0.25">
      <c r="B29" s="24"/>
      <c r="C29" s="24"/>
    </row>
    <row r="30" spans="2:15" ht="13.9" customHeight="1" x14ac:dyDescent="0.25">
      <c r="B30" s="28"/>
      <c r="C30" s="28"/>
    </row>
    <row r="31" spans="2:15" ht="15" customHeight="1" x14ac:dyDescent="0.25">
      <c r="B31" s="29"/>
      <c r="C31" s="29"/>
      <c r="G31" s="23"/>
      <c r="H31" s="23"/>
      <c r="I31" s="23"/>
      <c r="O31" s="30"/>
    </row>
    <row r="32" spans="2:15" ht="13.9" customHeight="1" x14ac:dyDescent="0.25">
      <c r="B32" s="31"/>
      <c r="C32" s="31"/>
      <c r="G32" s="23"/>
      <c r="H32" s="23"/>
      <c r="I32" s="23"/>
    </row>
    <row r="33" spans="2:9" ht="13.9" customHeight="1" x14ac:dyDescent="0.2">
      <c r="B33" s="29"/>
      <c r="C33" s="29"/>
    </row>
    <row r="34" spans="2:9" ht="13.9" customHeight="1" x14ac:dyDescent="0.25">
      <c r="B34" s="31"/>
      <c r="C34" s="31"/>
      <c r="G34" s="25"/>
      <c r="H34" s="25"/>
      <c r="I34" s="25"/>
    </row>
    <row r="35" spans="2:9" ht="12.75" customHeight="1" x14ac:dyDescent="0.2">
      <c r="B35" s="29"/>
      <c r="C35" s="29"/>
      <c r="I35" s="25"/>
    </row>
    <row r="36" spans="2:9" ht="12.75" customHeight="1" x14ac:dyDescent="0.2">
      <c r="B36" s="32"/>
      <c r="C36" s="32"/>
      <c r="I36" s="25"/>
    </row>
    <row r="37" spans="2:9" ht="13.9" customHeight="1" x14ac:dyDescent="0.25">
      <c r="B37" s="33"/>
      <c r="C37" s="33"/>
      <c r="I37" s="25"/>
    </row>
    <row r="38" spans="2:9" ht="13.9" customHeight="1" x14ac:dyDescent="0.25">
      <c r="B38" s="31"/>
      <c r="C38" s="31"/>
      <c r="I38" s="25"/>
    </row>
    <row r="39" spans="2:9" ht="13.9" customHeight="1" x14ac:dyDescent="0.2">
      <c r="B39" s="29"/>
      <c r="C39" s="29"/>
      <c r="I39" s="25"/>
    </row>
    <row r="40" spans="2:9" ht="13.9" customHeight="1" x14ac:dyDescent="0.25">
      <c r="B40" s="31"/>
      <c r="C40" s="31"/>
      <c r="I40" s="25"/>
    </row>
    <row r="41" spans="2:9" ht="13.9" customHeight="1" x14ac:dyDescent="0.2">
      <c r="B41" s="29"/>
      <c r="C41" s="29"/>
      <c r="I41" s="25"/>
    </row>
    <row r="42" spans="2:9" ht="13.9" customHeight="1" x14ac:dyDescent="0.25">
      <c r="B42" s="31"/>
      <c r="C42" s="31"/>
      <c r="I42" s="25"/>
    </row>
    <row r="43" spans="2:9" ht="12.75" customHeight="1" x14ac:dyDescent="0.2">
      <c r="B43" s="29"/>
      <c r="C43" s="29"/>
      <c r="I43" s="25"/>
    </row>
    <row r="44" spans="2:9" ht="12.75" customHeight="1" x14ac:dyDescent="0.2">
      <c r="B44" s="32"/>
      <c r="C44" s="32"/>
      <c r="I44" s="25"/>
    </row>
    <row r="45" spans="2:9" ht="13.9" customHeight="1" x14ac:dyDescent="0.25">
      <c r="B45" s="34"/>
      <c r="C45" s="34"/>
      <c r="I45" s="25"/>
    </row>
    <row r="46" spans="2:9" ht="12.75" customHeight="1" x14ac:dyDescent="0.2">
      <c r="B46" s="29"/>
      <c r="C46" s="29"/>
      <c r="I46" s="25"/>
    </row>
    <row r="47" spans="2:9" ht="12.75" customHeight="1" x14ac:dyDescent="0.2">
      <c r="B47" s="29"/>
      <c r="C47" s="29"/>
      <c r="I47" s="25"/>
    </row>
    <row r="48" spans="2:9" ht="13.9" customHeight="1" x14ac:dyDescent="0.25">
      <c r="B48" s="33"/>
      <c r="C48" s="33"/>
      <c r="I48" s="25"/>
    </row>
    <row r="49" spans="2:9" ht="13.9" customHeight="1" x14ac:dyDescent="0.2">
      <c r="B49" s="29"/>
      <c r="C49" s="29"/>
      <c r="I49" s="25"/>
    </row>
    <row r="50" spans="2:9" ht="13.9" customHeight="1" x14ac:dyDescent="0.25">
      <c r="B50" s="31"/>
      <c r="C50" s="31"/>
      <c r="I50" s="25"/>
    </row>
    <row r="51" spans="2:9" ht="13.9" customHeight="1" x14ac:dyDescent="0.2">
      <c r="B51" s="29"/>
      <c r="C51" s="29"/>
      <c r="I51" s="25"/>
    </row>
    <row r="52" spans="2:9" ht="13.9" customHeight="1" x14ac:dyDescent="0.25">
      <c r="B52" s="31"/>
      <c r="C52" s="31"/>
      <c r="I52" s="25"/>
    </row>
    <row r="53" spans="2:9" ht="12.75" customHeight="1" x14ac:dyDescent="0.2">
      <c r="B53" s="29"/>
      <c r="C53" s="29"/>
      <c r="I53" s="25"/>
    </row>
    <row r="54" spans="2:9" ht="12.75" customHeight="1" x14ac:dyDescent="0.2">
      <c r="B54" s="32"/>
      <c r="C54" s="32"/>
      <c r="I54" s="25"/>
    </row>
    <row r="55" spans="2:9" ht="13.9" customHeight="1" x14ac:dyDescent="0.25">
      <c r="B55" s="33"/>
      <c r="C55" s="33"/>
      <c r="I55" s="25"/>
    </row>
    <row r="56" spans="2:9" ht="13.9" customHeight="1" x14ac:dyDescent="0.25">
      <c r="B56" s="31"/>
      <c r="C56" s="31"/>
      <c r="I56" s="25"/>
    </row>
    <row r="57" spans="2:9" ht="13.9" customHeight="1" x14ac:dyDescent="0.2">
      <c r="B57" s="29"/>
      <c r="C57" s="29"/>
      <c r="I57" s="25"/>
    </row>
    <row r="58" spans="2:9" ht="13.9" customHeight="1" x14ac:dyDescent="0.25">
      <c r="B58" s="31"/>
      <c r="C58" s="31"/>
      <c r="I58" s="25"/>
    </row>
    <row r="59" spans="2:9" ht="13.9" customHeight="1" x14ac:dyDescent="0.2">
      <c r="B59" s="29"/>
      <c r="C59" s="29"/>
      <c r="I59" s="25"/>
    </row>
    <row r="60" spans="2:9" ht="13.9" customHeight="1" x14ac:dyDescent="0.25">
      <c r="B60" s="31"/>
      <c r="C60" s="31"/>
      <c r="I60" s="25"/>
    </row>
    <row r="61" spans="2:9" ht="12.75" customHeight="1" x14ac:dyDescent="0.2">
      <c r="B61" s="29"/>
      <c r="C61" s="29"/>
      <c r="I61" s="25"/>
    </row>
    <row r="62" spans="2:9" ht="12.75" customHeight="1" x14ac:dyDescent="0.2">
      <c r="B62" s="32"/>
      <c r="C62" s="32"/>
      <c r="I62" s="25"/>
    </row>
    <row r="63" spans="2:9" ht="13.9" customHeight="1" x14ac:dyDescent="0.25">
      <c r="B63" s="34"/>
      <c r="C63" s="34"/>
      <c r="I63" s="25"/>
    </row>
    <row r="64" spans="2:9" ht="12.75" customHeight="1" x14ac:dyDescent="0.2">
      <c r="B64" s="29"/>
      <c r="C64" s="29"/>
      <c r="I64" s="25"/>
    </row>
    <row r="65" spans="2:9" ht="13.9" customHeight="1" x14ac:dyDescent="0.25">
      <c r="B65" s="33"/>
      <c r="C65" s="33"/>
      <c r="I65" s="25"/>
    </row>
    <row r="66" spans="2:9" ht="12.75" customHeight="1" x14ac:dyDescent="0.2">
      <c r="B66" s="29"/>
      <c r="C66" s="29"/>
      <c r="I66" s="25"/>
    </row>
    <row r="67" spans="2:9" ht="12.75" customHeight="1" x14ac:dyDescent="0.2">
      <c r="B67" s="29"/>
      <c r="C67" s="29"/>
      <c r="I67" s="25"/>
    </row>
    <row r="68" spans="2:9" ht="13.9" customHeight="1" x14ac:dyDescent="0.25">
      <c r="B68" s="31"/>
      <c r="C68" s="31"/>
      <c r="I68" s="25"/>
    </row>
    <row r="69" spans="2:9" ht="13.9" customHeight="1" x14ac:dyDescent="0.2">
      <c r="B69" s="29"/>
      <c r="C69" s="29"/>
      <c r="I69" s="25"/>
    </row>
    <row r="70" spans="2:9" ht="13.9" customHeight="1" x14ac:dyDescent="0.25">
      <c r="B70" s="31"/>
      <c r="C70" s="31"/>
      <c r="I70" s="25"/>
    </row>
    <row r="71" spans="2:9" ht="12.75" customHeight="1" x14ac:dyDescent="0.2">
      <c r="B71" s="29"/>
      <c r="C71" s="29"/>
      <c r="I71" s="25"/>
    </row>
    <row r="72" spans="2:9" ht="12.75" customHeight="1" x14ac:dyDescent="0.2">
      <c r="B72" s="32"/>
      <c r="C72" s="32"/>
      <c r="I72" s="25"/>
    </row>
    <row r="73" spans="2:9" ht="13.9" customHeight="1" x14ac:dyDescent="0.25">
      <c r="B73" s="33"/>
      <c r="C73" s="33"/>
      <c r="I73" s="25"/>
    </row>
    <row r="74" spans="2:9" ht="13.9" customHeight="1" x14ac:dyDescent="0.25">
      <c r="B74" s="31"/>
      <c r="C74" s="31"/>
      <c r="I74" s="25"/>
    </row>
    <row r="75" spans="2:9" ht="13.9" customHeight="1" x14ac:dyDescent="0.2">
      <c r="B75" s="29"/>
      <c r="C75" s="29"/>
      <c r="I75" s="25"/>
    </row>
    <row r="76" spans="2:9" ht="13.9" customHeight="1" x14ac:dyDescent="0.25">
      <c r="B76" s="31"/>
      <c r="C76" s="31"/>
      <c r="I76" s="25"/>
    </row>
    <row r="77" spans="2:9" ht="13.9" customHeight="1" x14ac:dyDescent="0.2">
      <c r="B77" s="29"/>
      <c r="C77" s="29"/>
      <c r="I77" s="25"/>
    </row>
    <row r="78" spans="2:9" ht="13.9" customHeight="1" x14ac:dyDescent="0.25">
      <c r="B78" s="31"/>
      <c r="C78" s="31"/>
      <c r="I78" s="25"/>
    </row>
    <row r="79" spans="2:9" ht="12.75" customHeight="1" x14ac:dyDescent="0.2">
      <c r="B79" s="29"/>
      <c r="C79" s="29"/>
      <c r="I79" s="25"/>
    </row>
    <row r="80" spans="2:9" ht="12.75" customHeight="1" x14ac:dyDescent="0.2">
      <c r="B80" s="32"/>
      <c r="C80" s="32"/>
      <c r="I80" s="25"/>
    </row>
    <row r="81" spans="2:9" ht="13.9" customHeight="1" x14ac:dyDescent="0.25">
      <c r="B81" s="26"/>
      <c r="C81" s="26"/>
      <c r="I81" s="25"/>
    </row>
    <row r="82" spans="2:9" ht="12.75" customHeight="1" x14ac:dyDescent="0.2">
      <c r="B82" s="25"/>
      <c r="C82" s="25"/>
      <c r="I82" s="25"/>
    </row>
    <row r="83" spans="2:9" ht="13.9" customHeight="1" x14ac:dyDescent="0.25">
      <c r="B83" s="24"/>
      <c r="C83" s="24"/>
      <c r="I83" s="25"/>
    </row>
    <row r="84" spans="2:9" ht="13.9" customHeight="1" x14ac:dyDescent="0.25">
      <c r="B84" s="28"/>
      <c r="C84" s="28"/>
      <c r="I84" s="25"/>
    </row>
    <row r="85" spans="2:9" ht="13.9" customHeight="1" x14ac:dyDescent="0.2">
      <c r="B85" s="29"/>
      <c r="C85" s="29"/>
      <c r="I85" s="25"/>
    </row>
    <row r="86" spans="2:9" ht="13.9" customHeight="1" x14ac:dyDescent="0.25">
      <c r="B86" s="31"/>
      <c r="C86" s="31"/>
      <c r="I86" s="25"/>
    </row>
    <row r="87" spans="2:9" ht="13.9" customHeight="1" x14ac:dyDescent="0.2">
      <c r="B87" s="29"/>
      <c r="C87" s="29"/>
      <c r="I87" s="25"/>
    </row>
    <row r="88" spans="2:9" ht="13.9" customHeight="1" x14ac:dyDescent="0.25">
      <c r="B88" s="31"/>
      <c r="C88" s="31"/>
      <c r="I88" s="25"/>
    </row>
    <row r="89" spans="2:9" ht="12.75" customHeight="1" x14ac:dyDescent="0.2">
      <c r="B89" s="29"/>
      <c r="C89" s="29"/>
      <c r="I89" s="25"/>
    </row>
    <row r="90" spans="2:9" ht="12.75" customHeight="1" x14ac:dyDescent="0.2">
      <c r="B90" s="32"/>
      <c r="C90" s="32"/>
      <c r="I90" s="25"/>
    </row>
    <row r="91" spans="2:9" ht="13.9" customHeight="1" x14ac:dyDescent="0.25">
      <c r="B91" s="33"/>
      <c r="C91" s="33"/>
      <c r="I91" s="25"/>
    </row>
    <row r="92" spans="2:9" ht="13.9" customHeight="1" x14ac:dyDescent="0.25">
      <c r="B92" s="31"/>
      <c r="C92" s="31"/>
      <c r="I92" s="25"/>
    </row>
    <row r="93" spans="2:9" ht="13.9" customHeight="1" x14ac:dyDescent="0.2">
      <c r="B93" s="29"/>
      <c r="C93" s="29"/>
      <c r="I93" s="25"/>
    </row>
    <row r="94" spans="2:9" ht="13.9" customHeight="1" x14ac:dyDescent="0.25">
      <c r="B94" s="31"/>
      <c r="C94" s="31"/>
      <c r="I94" s="25"/>
    </row>
    <row r="95" spans="2:9" ht="13.9" customHeight="1" x14ac:dyDescent="0.2">
      <c r="B95" s="29"/>
      <c r="C95" s="29"/>
      <c r="I95" s="25"/>
    </row>
    <row r="96" spans="2:9" ht="13.9" customHeight="1" x14ac:dyDescent="0.25">
      <c r="B96" s="31"/>
      <c r="C96" s="31"/>
      <c r="I96" s="25"/>
    </row>
    <row r="97" spans="2:9" ht="12.75" customHeight="1" x14ac:dyDescent="0.2">
      <c r="B97" s="29"/>
      <c r="C97" s="29"/>
      <c r="I97" s="25"/>
    </row>
    <row r="98" spans="2:9" ht="12.75" customHeight="1" x14ac:dyDescent="0.2">
      <c r="B98" s="32"/>
      <c r="C98" s="32"/>
      <c r="I98" s="25"/>
    </row>
    <row r="99" spans="2:9" ht="13.9" customHeight="1" x14ac:dyDescent="0.25">
      <c r="B99" s="24"/>
      <c r="C99" s="24"/>
      <c r="I99" s="25"/>
    </row>
    <row r="100" spans="2:9" ht="13.9" customHeight="1" x14ac:dyDescent="0.25">
      <c r="B100" s="28"/>
      <c r="C100" s="28"/>
      <c r="I100" s="25"/>
    </row>
    <row r="101" spans="2:9" ht="13.9" customHeight="1" x14ac:dyDescent="0.2">
      <c r="B101" s="29"/>
      <c r="C101" s="29"/>
      <c r="I101" s="25"/>
    </row>
    <row r="102" spans="2:9" ht="13.9" customHeight="1" x14ac:dyDescent="0.25">
      <c r="B102" s="28"/>
      <c r="C102" s="28"/>
      <c r="I102" s="25"/>
    </row>
    <row r="103" spans="2:9" ht="13.9" customHeight="1" x14ac:dyDescent="0.2">
      <c r="B103" s="29"/>
      <c r="C103" s="29"/>
      <c r="I103" s="25"/>
    </row>
    <row r="104" spans="2:9" ht="13.9" customHeight="1" x14ac:dyDescent="0.25">
      <c r="B104" s="28"/>
      <c r="C104" s="28"/>
      <c r="I104" s="25"/>
    </row>
    <row r="105" spans="2:9" ht="12.75" customHeight="1" x14ac:dyDescent="0.2">
      <c r="B105" s="29"/>
      <c r="C105" s="29"/>
      <c r="I105" s="25"/>
    </row>
    <row r="106" spans="2:9" ht="12.75" customHeight="1" x14ac:dyDescent="0.2">
      <c r="B106" s="32"/>
      <c r="C106" s="32"/>
      <c r="I106" s="25"/>
    </row>
    <row r="107" spans="2:9" ht="13.9" customHeight="1" x14ac:dyDescent="0.25">
      <c r="B107" s="26"/>
      <c r="C107" s="26"/>
      <c r="I107" s="25"/>
    </row>
    <row r="108" spans="2:9" ht="12.75" customHeight="1" x14ac:dyDescent="0.2">
      <c r="B108" s="25"/>
      <c r="C108" s="25"/>
      <c r="I108" s="25"/>
    </row>
    <row r="109" spans="2:9" ht="13.9" customHeight="1" x14ac:dyDescent="0.25">
      <c r="B109" s="24"/>
      <c r="C109" s="24"/>
      <c r="I109" s="25"/>
    </row>
    <row r="110" spans="2:9" ht="13.9" customHeight="1" x14ac:dyDescent="0.25">
      <c r="B110" s="28"/>
      <c r="C110" s="28"/>
      <c r="I110" s="25"/>
    </row>
    <row r="111" spans="2:9" ht="13.9" customHeight="1" x14ac:dyDescent="0.2">
      <c r="B111" s="29"/>
      <c r="C111" s="29"/>
      <c r="I111" s="25"/>
    </row>
    <row r="112" spans="2:9" ht="13.9" customHeight="1" x14ac:dyDescent="0.25">
      <c r="B112" s="31"/>
      <c r="C112" s="31"/>
      <c r="I112" s="25"/>
    </row>
    <row r="113" spans="2:9" ht="13.9" customHeight="1" x14ac:dyDescent="0.2">
      <c r="B113" s="29"/>
      <c r="C113" s="29"/>
      <c r="I113" s="25"/>
    </row>
    <row r="114" spans="2:9" ht="13.9" customHeight="1" x14ac:dyDescent="0.25">
      <c r="B114" s="31"/>
      <c r="C114" s="31"/>
      <c r="I114" s="25"/>
    </row>
    <row r="115" spans="2:9" ht="12.75" customHeight="1" x14ac:dyDescent="0.2">
      <c r="B115" s="29"/>
      <c r="C115" s="29"/>
      <c r="I115" s="25"/>
    </row>
    <row r="116" spans="2:9" ht="12.75" customHeight="1" x14ac:dyDescent="0.2">
      <c r="B116" s="32"/>
      <c r="C116" s="32"/>
      <c r="I116" s="25"/>
    </row>
    <row r="117" spans="2:9" ht="13.9" customHeight="1" x14ac:dyDescent="0.25">
      <c r="B117" s="33"/>
      <c r="C117" s="33"/>
      <c r="I117" s="25"/>
    </row>
    <row r="118" spans="2:9" ht="13.9" customHeight="1" x14ac:dyDescent="0.25">
      <c r="B118" s="31"/>
      <c r="C118" s="31"/>
      <c r="I118" s="25"/>
    </row>
    <row r="119" spans="2:9" ht="13.9" customHeight="1" x14ac:dyDescent="0.2">
      <c r="B119" s="29"/>
      <c r="C119" s="29"/>
      <c r="I119" s="25"/>
    </row>
    <row r="120" spans="2:9" ht="13.9" customHeight="1" x14ac:dyDescent="0.25">
      <c r="B120" s="31"/>
      <c r="C120" s="31"/>
      <c r="I120" s="25"/>
    </row>
    <row r="121" spans="2:9" ht="13.9" customHeight="1" x14ac:dyDescent="0.2">
      <c r="B121" s="29"/>
      <c r="C121" s="29"/>
      <c r="I121" s="25"/>
    </row>
    <row r="122" spans="2:9" ht="13.9" customHeight="1" x14ac:dyDescent="0.25">
      <c r="B122" s="31"/>
      <c r="C122" s="31"/>
      <c r="I122" s="25"/>
    </row>
    <row r="123" spans="2:9" ht="12.75" customHeight="1" x14ac:dyDescent="0.2">
      <c r="B123" s="29"/>
      <c r="C123" s="29"/>
      <c r="I123" s="25"/>
    </row>
    <row r="124" spans="2:9" ht="12.75" customHeight="1" x14ac:dyDescent="0.2">
      <c r="B124" s="32"/>
      <c r="C124" s="32"/>
      <c r="I124" s="25"/>
    </row>
    <row r="125" spans="2:9" ht="13.9" customHeight="1" x14ac:dyDescent="0.25">
      <c r="B125" s="33"/>
      <c r="C125" s="33"/>
      <c r="I125" s="25"/>
    </row>
    <row r="126" spans="2:9" ht="13.9" customHeight="1" x14ac:dyDescent="0.25">
      <c r="B126" s="31"/>
      <c r="C126" s="31"/>
      <c r="I126" s="25"/>
    </row>
    <row r="127" spans="2:9" ht="13.9" customHeight="1" x14ac:dyDescent="0.2">
      <c r="B127" s="29"/>
      <c r="C127" s="29"/>
      <c r="I127" s="25"/>
    </row>
    <row r="128" spans="2:9" ht="13.9" customHeight="1" x14ac:dyDescent="0.25">
      <c r="B128" s="28"/>
      <c r="C128" s="28"/>
      <c r="I128" s="25"/>
    </row>
    <row r="129" spans="2:9" ht="13.9" customHeight="1" x14ac:dyDescent="0.2">
      <c r="B129" s="29"/>
      <c r="C129" s="29"/>
      <c r="I129" s="25"/>
    </row>
    <row r="130" spans="2:9" ht="13.9" customHeight="1" x14ac:dyDescent="0.25">
      <c r="B130" s="28"/>
      <c r="C130" s="28"/>
      <c r="I130" s="25"/>
    </row>
    <row r="131" spans="2:9" ht="12.75" customHeight="1" x14ac:dyDescent="0.2">
      <c r="B131" s="29"/>
      <c r="C131" s="29"/>
      <c r="I131" s="25"/>
    </row>
    <row r="132" spans="2:9" ht="12.75" customHeight="1" x14ac:dyDescent="0.2">
      <c r="B132" s="32"/>
      <c r="C132" s="32"/>
      <c r="I132" s="25"/>
    </row>
    <row r="133" spans="2:9" ht="13.9" customHeight="1" x14ac:dyDescent="0.25">
      <c r="B133" s="34"/>
      <c r="C133" s="34"/>
      <c r="I133" s="25"/>
    </row>
    <row r="134" spans="2:9" ht="12.75" customHeight="1" x14ac:dyDescent="0.2">
      <c r="B134" s="29"/>
      <c r="C134" s="29"/>
      <c r="I134" s="25"/>
    </row>
    <row r="135" spans="2:9" ht="13.9" customHeight="1" x14ac:dyDescent="0.25">
      <c r="B135" s="33"/>
      <c r="C135" s="33"/>
      <c r="I135" s="25"/>
    </row>
    <row r="136" spans="2:9" ht="13.9" customHeight="1" x14ac:dyDescent="0.25">
      <c r="B136" s="31"/>
      <c r="C136" s="31"/>
      <c r="I136" s="25"/>
    </row>
    <row r="137" spans="2:9" ht="13.9" customHeight="1" x14ac:dyDescent="0.2">
      <c r="B137" s="29"/>
      <c r="C137" s="29"/>
      <c r="I137" s="25"/>
    </row>
    <row r="138" spans="2:9" ht="13.9" customHeight="1" x14ac:dyDescent="0.25">
      <c r="B138" s="31"/>
      <c r="C138" s="31"/>
      <c r="I138" s="25"/>
    </row>
    <row r="139" spans="2:9" ht="13.9" customHeight="1" x14ac:dyDescent="0.2">
      <c r="B139" s="29"/>
      <c r="C139" s="29"/>
      <c r="I139" s="25"/>
    </row>
    <row r="140" spans="2:9" ht="13.9" customHeight="1" x14ac:dyDescent="0.25">
      <c r="B140" s="31"/>
      <c r="C140" s="31"/>
      <c r="I140" s="25"/>
    </row>
    <row r="141" spans="2:9" ht="12.75" customHeight="1" x14ac:dyDescent="0.2">
      <c r="B141" s="29"/>
      <c r="C141" s="29"/>
      <c r="I141" s="25"/>
    </row>
    <row r="142" spans="2:9" ht="12.75" customHeight="1" x14ac:dyDescent="0.2">
      <c r="B142" s="32"/>
      <c r="C142" s="32"/>
      <c r="I142" s="25"/>
    </row>
    <row r="143" spans="2:9" ht="13.9" customHeight="1" x14ac:dyDescent="0.25">
      <c r="B143" s="33"/>
      <c r="C143" s="33"/>
      <c r="I143" s="25"/>
    </row>
    <row r="144" spans="2:9" ht="13.9" customHeight="1" x14ac:dyDescent="0.25">
      <c r="B144" s="31"/>
      <c r="C144" s="31"/>
      <c r="I144" s="25"/>
    </row>
    <row r="145" spans="2:9" ht="13.9" customHeight="1" x14ac:dyDescent="0.2">
      <c r="B145" s="29"/>
      <c r="C145" s="29"/>
      <c r="I145" s="25"/>
    </row>
    <row r="146" spans="2:9" ht="13.9" customHeight="1" x14ac:dyDescent="0.25">
      <c r="B146" s="31"/>
      <c r="C146" s="31"/>
      <c r="I146" s="25"/>
    </row>
    <row r="147" spans="2:9" ht="13.9" customHeight="1" x14ac:dyDescent="0.2">
      <c r="B147" s="29"/>
      <c r="C147" s="29"/>
      <c r="I147" s="25"/>
    </row>
    <row r="148" spans="2:9" ht="13.9" customHeight="1" x14ac:dyDescent="0.25">
      <c r="B148" s="31"/>
      <c r="C148" s="31"/>
      <c r="I148" s="25"/>
    </row>
    <row r="149" spans="2:9" ht="12.75" customHeight="1" x14ac:dyDescent="0.2">
      <c r="B149" s="29"/>
      <c r="C149" s="29"/>
      <c r="I149" s="25"/>
    </row>
    <row r="150" spans="2:9" ht="12.75" customHeight="1" x14ac:dyDescent="0.2">
      <c r="B150" s="32"/>
      <c r="C150" s="32"/>
      <c r="I150" s="25"/>
    </row>
    <row r="151" spans="2:9" ht="13.9" customHeight="1" x14ac:dyDescent="0.25">
      <c r="B151" s="33"/>
      <c r="C151" s="33"/>
      <c r="I151" s="25"/>
    </row>
    <row r="152" spans="2:9" ht="13.9" customHeight="1" x14ac:dyDescent="0.25">
      <c r="B152" s="31"/>
      <c r="C152" s="31"/>
      <c r="I152" s="25"/>
    </row>
    <row r="153" spans="2:9" ht="13.9" customHeight="1" x14ac:dyDescent="0.2">
      <c r="B153" s="29"/>
      <c r="C153" s="29"/>
      <c r="I153" s="25"/>
    </row>
    <row r="154" spans="2:9" ht="13.9" customHeight="1" x14ac:dyDescent="0.25">
      <c r="B154" s="28"/>
      <c r="C154" s="28"/>
      <c r="I154" s="25"/>
    </row>
    <row r="155" spans="2:9" ht="13.9" customHeight="1" x14ac:dyDescent="0.2">
      <c r="B155" s="29"/>
      <c r="C155" s="29"/>
      <c r="I155" s="25"/>
    </row>
    <row r="156" spans="2:9" ht="13.9" customHeight="1" x14ac:dyDescent="0.25">
      <c r="B156" s="28"/>
      <c r="C156" s="28"/>
      <c r="I156" s="25"/>
    </row>
    <row r="157" spans="2:9" ht="12.75" customHeight="1" x14ac:dyDescent="0.2">
      <c r="B157" s="29"/>
      <c r="C157" s="29"/>
      <c r="I157" s="25"/>
    </row>
    <row r="158" spans="2:9" ht="12.75" customHeight="1" x14ac:dyDescent="0.2">
      <c r="B158" s="32"/>
      <c r="C158" s="32"/>
      <c r="I158" s="25"/>
    </row>
    <row r="159" spans="2:9" ht="13.9" customHeight="1" x14ac:dyDescent="0.25">
      <c r="B159" s="34"/>
      <c r="C159" s="34"/>
      <c r="I159" s="25"/>
    </row>
    <row r="160" spans="2:9" ht="12.75" customHeight="1" x14ac:dyDescent="0.2">
      <c r="B160" s="29"/>
      <c r="C160" s="29"/>
      <c r="I160" s="25"/>
    </row>
    <row r="161" spans="2:9" ht="13.9" customHeight="1" x14ac:dyDescent="0.25">
      <c r="B161" s="33"/>
      <c r="C161" s="33"/>
      <c r="I161" s="25"/>
    </row>
    <row r="162" spans="2:9" ht="13.9" customHeight="1" x14ac:dyDescent="0.25">
      <c r="B162" s="31"/>
      <c r="C162" s="31"/>
      <c r="I162" s="25"/>
    </row>
    <row r="163" spans="2:9" ht="13.9" customHeight="1" x14ac:dyDescent="0.2">
      <c r="B163" s="29"/>
      <c r="C163" s="29"/>
      <c r="I163" s="25"/>
    </row>
    <row r="164" spans="2:9" ht="13.9" customHeight="1" x14ac:dyDescent="0.25">
      <c r="B164" s="31"/>
      <c r="C164" s="31"/>
      <c r="I164" s="25"/>
    </row>
    <row r="165" spans="2:9" ht="13.9" customHeight="1" x14ac:dyDescent="0.2">
      <c r="B165" s="29"/>
      <c r="C165" s="29"/>
      <c r="I165" s="25"/>
    </row>
    <row r="166" spans="2:9" ht="13.9" customHeight="1" x14ac:dyDescent="0.25">
      <c r="B166" s="31"/>
      <c r="C166" s="31"/>
      <c r="I166" s="25"/>
    </row>
    <row r="167" spans="2:9" ht="12.75" customHeight="1" x14ac:dyDescent="0.2">
      <c r="B167" s="29"/>
      <c r="C167" s="29"/>
      <c r="I167" s="25"/>
    </row>
    <row r="168" spans="2:9" ht="12.75" customHeight="1" x14ac:dyDescent="0.2">
      <c r="B168" s="32"/>
      <c r="C168" s="32"/>
      <c r="I168" s="25"/>
    </row>
    <row r="169" spans="2:9" ht="13.9" customHeight="1" x14ac:dyDescent="0.25">
      <c r="B169" s="33"/>
      <c r="C169" s="33"/>
      <c r="I169" s="25"/>
    </row>
    <row r="170" spans="2:9" ht="13.9" customHeight="1" x14ac:dyDescent="0.25">
      <c r="B170" s="31"/>
      <c r="C170" s="31"/>
      <c r="I170" s="25"/>
    </row>
    <row r="171" spans="2:9" ht="13.9" customHeight="1" x14ac:dyDescent="0.2">
      <c r="B171" s="29"/>
      <c r="C171" s="29"/>
      <c r="I171" s="25"/>
    </row>
    <row r="172" spans="2:9" ht="13.9" customHeight="1" x14ac:dyDescent="0.25">
      <c r="B172" s="31"/>
      <c r="C172" s="31"/>
      <c r="I172" s="25"/>
    </row>
    <row r="173" spans="2:9" ht="13.9" customHeight="1" x14ac:dyDescent="0.2">
      <c r="B173" s="29"/>
      <c r="C173" s="29"/>
      <c r="I173" s="25"/>
    </row>
    <row r="174" spans="2:9" ht="13.9" customHeight="1" x14ac:dyDescent="0.25">
      <c r="B174" s="31"/>
      <c r="C174" s="31"/>
      <c r="I174" s="25"/>
    </row>
    <row r="175" spans="2:9" ht="12.75" customHeight="1" x14ac:dyDescent="0.2">
      <c r="B175" s="29"/>
      <c r="C175" s="29"/>
      <c r="I175" s="25"/>
    </row>
    <row r="176" spans="2:9" ht="12.75" customHeight="1" x14ac:dyDescent="0.2">
      <c r="B176" s="32"/>
      <c r="C176" s="32"/>
      <c r="I176" s="25"/>
    </row>
    <row r="177" spans="2:9" ht="13.9" customHeight="1" x14ac:dyDescent="0.25">
      <c r="B177" s="33"/>
      <c r="C177" s="33"/>
      <c r="I177" s="25"/>
    </row>
    <row r="178" spans="2:9" ht="13.9" customHeight="1" x14ac:dyDescent="0.25">
      <c r="B178" s="31"/>
      <c r="C178" s="31"/>
      <c r="I178" s="25"/>
    </row>
    <row r="179" spans="2:9" ht="13.9" customHeight="1" x14ac:dyDescent="0.2">
      <c r="B179" s="29"/>
      <c r="C179" s="29"/>
      <c r="I179" s="25"/>
    </row>
    <row r="180" spans="2:9" ht="13.9" customHeight="1" x14ac:dyDescent="0.25">
      <c r="B180" s="31"/>
      <c r="C180" s="31"/>
      <c r="I180" s="25"/>
    </row>
    <row r="181" spans="2:9" ht="13.9" customHeight="1" x14ac:dyDescent="0.2">
      <c r="B181" s="29"/>
      <c r="C181" s="29"/>
      <c r="I181" s="25"/>
    </row>
    <row r="182" spans="2:9" ht="13.9" customHeight="1" x14ac:dyDescent="0.25">
      <c r="B182" s="31"/>
      <c r="C182" s="31"/>
      <c r="I182" s="25"/>
    </row>
    <row r="183" spans="2:9" ht="12.75" customHeight="1" x14ac:dyDescent="0.2">
      <c r="B183" s="29"/>
      <c r="C183" s="29"/>
      <c r="I183" s="25"/>
    </row>
    <row r="184" spans="2:9" ht="12.75" customHeight="1" x14ac:dyDescent="0.2">
      <c r="B184" s="32"/>
      <c r="C184" s="32"/>
      <c r="I184" s="25"/>
    </row>
    <row r="185" spans="2:9" ht="13.9" customHeight="1" x14ac:dyDescent="0.25">
      <c r="B185" s="33"/>
      <c r="C185" s="33"/>
      <c r="I185" s="25"/>
    </row>
    <row r="186" spans="2:9" ht="13.9" customHeight="1" x14ac:dyDescent="0.25">
      <c r="B186" s="31"/>
      <c r="C186" s="31"/>
      <c r="I186" s="25"/>
    </row>
    <row r="187" spans="2:9" ht="13.9" customHeight="1" x14ac:dyDescent="0.2">
      <c r="B187" s="29"/>
      <c r="C187" s="29"/>
      <c r="I187" s="25"/>
    </row>
    <row r="188" spans="2:9" ht="13.9" customHeight="1" x14ac:dyDescent="0.25">
      <c r="B188" s="31"/>
      <c r="C188" s="31"/>
      <c r="I188" s="25"/>
    </row>
    <row r="189" spans="2:9" ht="13.9" customHeight="1" x14ac:dyDescent="0.2">
      <c r="B189" s="29"/>
      <c r="C189" s="29"/>
      <c r="I189" s="25"/>
    </row>
    <row r="190" spans="2:9" ht="13.9" customHeight="1" x14ac:dyDescent="0.25">
      <c r="B190" s="31"/>
      <c r="C190" s="31"/>
      <c r="I190" s="25"/>
    </row>
    <row r="191" spans="2:9" ht="12.75" customHeight="1" x14ac:dyDescent="0.2">
      <c r="B191" s="29"/>
      <c r="C191" s="29"/>
      <c r="I191" s="25"/>
    </row>
    <row r="192" spans="2:9" ht="12.75" customHeight="1" x14ac:dyDescent="0.2">
      <c r="B192" s="32"/>
      <c r="C192" s="32"/>
      <c r="I192" s="25"/>
    </row>
    <row r="193" spans="2:9" ht="13.9" customHeight="1" x14ac:dyDescent="0.25">
      <c r="B193" s="33"/>
      <c r="C193" s="33"/>
      <c r="I193" s="25"/>
    </row>
    <row r="194" spans="2:9" ht="13.9" customHeight="1" x14ac:dyDescent="0.25">
      <c r="B194" s="31"/>
      <c r="C194" s="31"/>
      <c r="I194" s="25"/>
    </row>
    <row r="195" spans="2:9" ht="13.9" customHeight="1" x14ac:dyDescent="0.2">
      <c r="B195" s="29"/>
      <c r="C195" s="29"/>
      <c r="I195" s="25"/>
    </row>
    <row r="196" spans="2:9" ht="13.9" customHeight="1" x14ac:dyDescent="0.25">
      <c r="B196" s="31"/>
      <c r="C196" s="31"/>
      <c r="I196" s="25"/>
    </row>
    <row r="197" spans="2:9" ht="13.9" customHeight="1" x14ac:dyDescent="0.2">
      <c r="B197" s="29"/>
      <c r="C197" s="29"/>
      <c r="I197" s="25"/>
    </row>
    <row r="198" spans="2:9" ht="13.9" customHeight="1" x14ac:dyDescent="0.25">
      <c r="B198" s="31"/>
      <c r="C198" s="31"/>
      <c r="I198" s="25"/>
    </row>
    <row r="199" spans="2:9" ht="12.75" customHeight="1" x14ac:dyDescent="0.2">
      <c r="B199" s="29"/>
      <c r="C199" s="29"/>
      <c r="I199" s="25"/>
    </row>
    <row r="200" spans="2:9" ht="12.75" customHeight="1" x14ac:dyDescent="0.2">
      <c r="B200" s="32"/>
      <c r="C200" s="32"/>
      <c r="D200" s="25"/>
      <c r="E200" s="25"/>
      <c r="F200" s="25"/>
      <c r="I200" s="25"/>
    </row>
    <row r="201" spans="2:9" ht="12.75" customHeight="1" x14ac:dyDescent="0.2">
      <c r="I201" s="25"/>
    </row>
    <row r="202" spans="2:9" ht="12.75" customHeight="1" x14ac:dyDescent="0.2">
      <c r="I202" s="25"/>
    </row>
    <row r="203" spans="2:9" ht="12.75" customHeight="1" x14ac:dyDescent="0.2">
      <c r="I203" s="25"/>
    </row>
    <row r="204" spans="2:9" ht="12.75" customHeight="1" x14ac:dyDescent="0.2">
      <c r="I204" s="25"/>
    </row>
    <row r="205" spans="2:9" ht="12.75" customHeight="1" x14ac:dyDescent="0.2">
      <c r="I205" s="25"/>
    </row>
    <row r="206" spans="2:9" ht="12.75" customHeight="1" x14ac:dyDescent="0.2">
      <c r="I206" s="25"/>
    </row>
    <row r="207" spans="2:9" ht="12.75" customHeight="1" x14ac:dyDescent="0.2">
      <c r="I207" s="25"/>
    </row>
    <row r="208" spans="2:9" ht="12.75" customHeight="1" x14ac:dyDescent="0.2">
      <c r="G208" s="25"/>
      <c r="H208" s="25"/>
      <c r="I208" s="25"/>
    </row>
  </sheetData>
  <mergeCells count="5">
    <mergeCell ref="A2:G3"/>
    <mergeCell ref="C5:E5"/>
    <mergeCell ref="C6:E6"/>
    <mergeCell ref="C7:E7"/>
    <mergeCell ref="C19:E19"/>
  </mergeCells>
  <pageMargins left="0.78749999999999998" right="0.78749999999999998" top="1.0527777777778" bottom="1.0527777777778" header="0.78749999999999998" footer="0.78749999999999998"/>
  <pageSetup paperSize="9" orientation="portrait" useFirstPageNumber="1"/>
  <headerFooter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61"/>
  <sheetViews>
    <sheetView topLeftCell="A7" zoomScale="150" zoomScaleNormal="150" workbookViewId="0">
      <selection activeCell="H11" sqref="H11:H18"/>
    </sheetView>
  </sheetViews>
  <sheetFormatPr defaultColWidth="11.7109375" defaultRowHeight="12.75" x14ac:dyDescent="0.2"/>
  <cols>
    <col min="2" max="2" width="30.85546875" customWidth="1"/>
    <col min="3" max="3" width="16.28515625" customWidth="1"/>
    <col min="4" max="4" width="18.85546875" customWidth="1"/>
    <col min="5" max="5" width="19.7109375" customWidth="1"/>
    <col min="7" max="7" width="43.28515625" customWidth="1"/>
  </cols>
  <sheetData>
    <row r="2" spans="2:8" ht="12.75" customHeight="1" x14ac:dyDescent="0.2">
      <c r="B2" s="53" t="s">
        <v>24</v>
      </c>
      <c r="C2" s="53"/>
      <c r="D2" s="53"/>
      <c r="E2" s="53"/>
      <c r="F2" s="53"/>
      <c r="G2" s="53"/>
    </row>
    <row r="3" spans="2:8" ht="12.75" customHeight="1" x14ac:dyDescent="0.2">
      <c r="B3" s="35" t="s">
        <v>25</v>
      </c>
      <c r="C3" s="36" t="s">
        <v>26</v>
      </c>
    </row>
    <row r="4" spans="2:8" ht="12.75" customHeight="1" x14ac:dyDescent="0.2">
      <c r="B4" s="35" t="s">
        <v>27</v>
      </c>
      <c r="C4" s="36">
        <v>100</v>
      </c>
      <c r="D4" s="35" t="s">
        <v>28</v>
      </c>
      <c r="E4" t="s">
        <v>29</v>
      </c>
    </row>
    <row r="5" spans="2:8" ht="12.75" customHeight="1" x14ac:dyDescent="0.2">
      <c r="B5" s="35" t="s">
        <v>30</v>
      </c>
      <c r="C5" s="36" t="s">
        <v>31</v>
      </c>
    </row>
    <row r="6" spans="2:8" ht="12.75" customHeight="1" x14ac:dyDescent="0.2">
      <c r="B6" s="35" t="s">
        <v>32</v>
      </c>
      <c r="C6" s="36" t="s">
        <v>33</v>
      </c>
    </row>
    <row r="7" spans="2:8" ht="12.75" customHeight="1" x14ac:dyDescent="0.2">
      <c r="B7" s="35" t="s">
        <v>34</v>
      </c>
      <c r="C7" s="36" t="s">
        <v>35</v>
      </c>
    </row>
    <row r="8" spans="2:8" ht="12.75" customHeight="1" x14ac:dyDescent="0.2">
      <c r="B8" s="35" t="s">
        <v>36</v>
      </c>
      <c r="C8" s="36" t="s">
        <v>37</v>
      </c>
    </row>
    <row r="9" spans="2:8" ht="12.75" customHeight="1" x14ac:dyDescent="0.2">
      <c r="B9" s="35" t="s">
        <v>38</v>
      </c>
      <c r="C9" s="36" t="s">
        <v>39</v>
      </c>
    </row>
    <row r="11" spans="2:8" ht="12.75" customHeight="1" x14ac:dyDescent="0.2">
      <c r="B11" s="37" t="s">
        <v>40</v>
      </c>
      <c r="C11" s="38" t="s">
        <v>41</v>
      </c>
      <c r="D11" s="38" t="s">
        <v>42</v>
      </c>
      <c r="E11" s="38" t="s">
        <v>43</v>
      </c>
      <c r="G11" s="35" t="s">
        <v>44</v>
      </c>
      <c r="H11" s="35" t="s">
        <v>45</v>
      </c>
    </row>
    <row r="12" spans="2:8" ht="12.75" customHeight="1" x14ac:dyDescent="0.2">
      <c r="B12" s="39" t="str">
        <f xml:space="preserve"> " Valor energético (kcal)"</f>
        <v xml:space="preserve"> Valor energético (kcal)</v>
      </c>
      <c r="C12" s="40" t="s">
        <v>6</v>
      </c>
      <c r="D12" s="41" t="s">
        <v>6</v>
      </c>
      <c r="E12" s="41">
        <v>19</v>
      </c>
      <c r="G12" t="s">
        <v>46</v>
      </c>
      <c r="H12" t="s">
        <v>47</v>
      </c>
    </row>
    <row r="13" spans="2:8" ht="12.75" customHeight="1" x14ac:dyDescent="0.2">
      <c r="B13" s="39" t="str">
        <f xml:space="preserve"> " Carboidratos (g)"</f>
        <v xml:space="preserve"> Carboidratos (g)</v>
      </c>
      <c r="C13" s="40" t="s">
        <v>8</v>
      </c>
      <c r="D13" s="41" t="s">
        <v>8</v>
      </c>
      <c r="E13" s="41">
        <v>31</v>
      </c>
      <c r="G13" t="s">
        <v>66</v>
      </c>
      <c r="H13" t="s">
        <v>68</v>
      </c>
    </row>
    <row r="14" spans="2:8" ht="12.75" customHeight="1" x14ac:dyDescent="0.2">
      <c r="B14" s="39" t="str">
        <f xml:space="preserve"> "  Açúcares totais (g)"</f>
        <v xml:space="preserve">  Açúcares totais (g)</v>
      </c>
      <c r="C14" s="40" t="s">
        <v>10</v>
      </c>
      <c r="D14" s="41" t="s">
        <v>10</v>
      </c>
      <c r="E14" s="41"/>
      <c r="G14" t="s">
        <v>77</v>
      </c>
      <c r="H14" t="s">
        <v>69</v>
      </c>
    </row>
    <row r="15" spans="2:8" ht="12.75" customHeight="1" x14ac:dyDescent="0.2">
      <c r="B15" s="39" t="str">
        <f xml:space="preserve"> "  Açúcares adicionados (g)"</f>
        <v xml:space="preserve">  Açúcares adicionados (g)</v>
      </c>
      <c r="C15" s="40" t="s">
        <v>10</v>
      </c>
      <c r="D15" s="41" t="s">
        <v>10</v>
      </c>
      <c r="E15" s="41">
        <v>160</v>
      </c>
      <c r="G15" t="s">
        <v>67</v>
      </c>
      <c r="H15" t="s">
        <v>70</v>
      </c>
    </row>
    <row r="16" spans="2:8" ht="12.75" customHeight="1" x14ac:dyDescent="0.2">
      <c r="B16" s="39" t="str">
        <f xml:space="preserve"> " Proteínas (g)"</f>
        <v xml:space="preserve"> Proteínas (g)</v>
      </c>
      <c r="C16" s="40" t="s">
        <v>13</v>
      </c>
      <c r="D16" s="41" t="s">
        <v>13</v>
      </c>
      <c r="E16" s="41">
        <v>3</v>
      </c>
      <c r="G16" t="s">
        <v>76</v>
      </c>
      <c r="H16" t="s">
        <v>71</v>
      </c>
    </row>
    <row r="17" spans="2:8" ht="12.75" customHeight="1" x14ac:dyDescent="0.2">
      <c r="B17" s="39" t="str">
        <f xml:space="preserve"> " Gorduras totais (g)"</f>
        <v xml:space="preserve"> Gorduras totais (g)</v>
      </c>
      <c r="C17" s="40" t="s">
        <v>15</v>
      </c>
      <c r="D17" s="41" t="s">
        <v>15</v>
      </c>
      <c r="E17" s="41">
        <v>1</v>
      </c>
      <c r="G17" t="s">
        <v>75</v>
      </c>
      <c r="H17" t="s">
        <v>72</v>
      </c>
    </row>
    <row r="18" spans="2:8" ht="12.75" customHeight="1" x14ac:dyDescent="0.2">
      <c r="B18" s="39" t="str">
        <f xml:space="preserve"> "  Gorduras saturadas (g)"</f>
        <v xml:space="preserve">  Gorduras saturadas (g)</v>
      </c>
      <c r="C18" s="40" t="s">
        <v>17</v>
      </c>
      <c r="D18" s="41" t="s">
        <v>17</v>
      </c>
      <c r="E18" s="41">
        <v>2</v>
      </c>
      <c r="G18" t="s">
        <v>74</v>
      </c>
      <c r="H18" t="s">
        <v>73</v>
      </c>
    </row>
    <row r="19" spans="2:8" ht="12.75" customHeight="1" x14ac:dyDescent="0.2">
      <c r="B19" s="39" t="str">
        <f xml:space="preserve"> "  Gorduras trans (g)"</f>
        <v xml:space="preserve">  Gorduras trans (g)</v>
      </c>
      <c r="C19" s="40">
        <v>0</v>
      </c>
      <c r="D19" s="41">
        <v>0</v>
      </c>
      <c r="E19" s="41">
        <v>0</v>
      </c>
    </row>
    <row r="20" spans="2:8" ht="12.75" customHeight="1" x14ac:dyDescent="0.2">
      <c r="B20" s="39" t="str">
        <f xml:space="preserve"> " Fibras alimentares (g)"</f>
        <v xml:space="preserve"> Fibras alimentares (g)</v>
      </c>
      <c r="C20" s="40" t="s">
        <v>20</v>
      </c>
      <c r="D20" s="41" t="s">
        <v>20</v>
      </c>
      <c r="E20" s="41">
        <v>5</v>
      </c>
    </row>
    <row r="21" spans="2:8" ht="12.75" customHeight="1" x14ac:dyDescent="0.2">
      <c r="B21" s="39" t="str">
        <f xml:space="preserve"> " Sódio (mg)"</f>
        <v xml:space="preserve"> Sódio (mg)</v>
      </c>
      <c r="C21" s="40" t="s">
        <v>22</v>
      </c>
      <c r="D21" s="41" t="s">
        <v>22</v>
      </c>
      <c r="E21" s="41">
        <v>17</v>
      </c>
    </row>
    <row r="22" spans="2:8" ht="12.75" customHeight="1" x14ac:dyDescent="0.2">
      <c r="B22" s="39" t="str">
        <f xml:space="preserve"> " Água (g)"</f>
        <v xml:space="preserve"> Água (g)</v>
      </c>
      <c r="C22" s="40">
        <v>0</v>
      </c>
      <c r="D22" s="41">
        <v>0</v>
      </c>
      <c r="E22" s="41">
        <v>0</v>
      </c>
    </row>
    <row r="23" spans="2:8" ht="12.75" customHeight="1" x14ac:dyDescent="0.2">
      <c r="B23" s="39" t="str">
        <f xml:space="preserve"> " Sacarose (g)"</f>
        <v xml:space="preserve"> Sacarose (g)</v>
      </c>
      <c r="C23" s="40">
        <v>0</v>
      </c>
      <c r="D23" s="41">
        <v>0</v>
      </c>
      <c r="E23" s="41">
        <v>0</v>
      </c>
    </row>
    <row r="24" spans="2:8" ht="12.75" customHeight="1" x14ac:dyDescent="0.2">
      <c r="B24" s="39" t="str">
        <f xml:space="preserve"> " Glicose (Dextrose) (g)"</f>
        <v xml:space="preserve"> Glicose (Dextrose) (g)</v>
      </c>
      <c r="C24" s="40">
        <v>0</v>
      </c>
      <c r="D24" s="41">
        <v>0</v>
      </c>
      <c r="E24" s="41">
        <v>0</v>
      </c>
    </row>
    <row r="25" spans="2:8" ht="12.75" customHeight="1" x14ac:dyDescent="0.2">
      <c r="B25" s="39" t="str">
        <f xml:space="preserve"> " Frutose (g)"</f>
        <v xml:space="preserve"> Frutose (g)</v>
      </c>
      <c r="C25" s="40">
        <v>0</v>
      </c>
      <c r="D25" s="41">
        <v>0</v>
      </c>
      <c r="E25" s="41">
        <v>0</v>
      </c>
    </row>
    <row r="26" spans="2:8" ht="12.75" customHeight="1" x14ac:dyDescent="0.2">
      <c r="B26" s="39" t="str">
        <f xml:space="preserve"> " Lactose (g)"</f>
        <v xml:space="preserve"> Lactose (g)</v>
      </c>
      <c r="C26" s="40">
        <v>0</v>
      </c>
      <c r="D26" s="41">
        <v>0</v>
      </c>
      <c r="E26" s="41">
        <v>0</v>
      </c>
    </row>
    <row r="27" spans="2:8" ht="12.75" customHeight="1" x14ac:dyDescent="0.2">
      <c r="B27" s="39" t="str">
        <f xml:space="preserve"> " Maltose (g)"</f>
        <v xml:space="preserve"> Maltose (g)</v>
      </c>
      <c r="C27" s="40">
        <v>0</v>
      </c>
      <c r="D27" s="41">
        <v>0</v>
      </c>
      <c r="E27" s="41">
        <v>0</v>
      </c>
    </row>
    <row r="28" spans="2:8" ht="12.75" customHeight="1" x14ac:dyDescent="0.2">
      <c r="B28" s="39" t="str">
        <f xml:space="preserve"> " Galactose (g)"</f>
        <v xml:space="preserve"> Galactose (g)</v>
      </c>
      <c r="C28" s="40">
        <v>0</v>
      </c>
      <c r="D28" s="41">
        <v>0</v>
      </c>
      <c r="E28" s="41">
        <v>0</v>
      </c>
    </row>
    <row r="29" spans="2:8" ht="12.75" customHeight="1" x14ac:dyDescent="0.2">
      <c r="B29" s="39" t="str">
        <f xml:space="preserve"> " Amido (g)"</f>
        <v xml:space="preserve"> Amido (g)</v>
      </c>
      <c r="C29" s="40">
        <v>0</v>
      </c>
      <c r="D29" s="41">
        <v>0</v>
      </c>
      <c r="E29" s="41">
        <v>0</v>
      </c>
    </row>
    <row r="30" spans="2:8" ht="12.75" customHeight="1" x14ac:dyDescent="0.2">
      <c r="B30" s="39" t="str">
        <f xml:space="preserve"> " Colesterol (mg)"</f>
        <v xml:space="preserve"> Colesterol (mg)</v>
      </c>
      <c r="C30" s="40">
        <v>0</v>
      </c>
      <c r="D30" s="41">
        <v>0</v>
      </c>
      <c r="E30" s="41">
        <v>0</v>
      </c>
    </row>
    <row r="31" spans="2:8" ht="12.75" customHeight="1" x14ac:dyDescent="0.2">
      <c r="B31" s="39" t="str">
        <f xml:space="preserve"> " Gorduras monoinsaturadas (g)"</f>
        <v xml:space="preserve"> Gorduras monoinsaturadas (g)</v>
      </c>
      <c r="C31" s="40" t="s">
        <v>48</v>
      </c>
      <c r="D31" s="41" t="s">
        <v>48</v>
      </c>
      <c r="E31" s="41">
        <v>780</v>
      </c>
    </row>
    <row r="32" spans="2:8" ht="12.75" customHeight="1" x14ac:dyDescent="0.2">
      <c r="B32" s="39" t="str">
        <f xml:space="preserve"> " Gorduras poli-insaturadas (g)"</f>
        <v xml:space="preserve"> Gorduras poli-insaturadas (g)</v>
      </c>
      <c r="C32" s="40" t="s">
        <v>49</v>
      </c>
      <c r="D32" s="41" t="s">
        <v>49</v>
      </c>
      <c r="E32" s="41">
        <v>155</v>
      </c>
    </row>
    <row r="33" spans="2:5" ht="12.75" customHeight="1" x14ac:dyDescent="0.2">
      <c r="B33" s="39" t="str">
        <f xml:space="preserve"> " Ômega 6 (g)"</f>
        <v xml:space="preserve"> Ômega 6 (g)</v>
      </c>
      <c r="C33" s="40" t="s">
        <v>50</v>
      </c>
      <c r="D33" s="41" t="s">
        <v>50</v>
      </c>
      <c r="E33" s="41">
        <v>167</v>
      </c>
    </row>
    <row r="34" spans="2:5" ht="12.75" customHeight="1" x14ac:dyDescent="0.2">
      <c r="B34" s="39" t="str">
        <f xml:space="preserve"> " Ômega 3 (mg)"</f>
        <v xml:space="preserve"> Ômega 3 (mg)</v>
      </c>
      <c r="C34" s="40" t="s">
        <v>20</v>
      </c>
      <c r="D34" s="41" t="s">
        <v>20</v>
      </c>
      <c r="E34" s="41">
        <v>0</v>
      </c>
    </row>
    <row r="35" spans="2:5" ht="12.75" customHeight="1" x14ac:dyDescent="0.2">
      <c r="B35" s="39" t="str">
        <f xml:space="preserve"> " Vitamina A (μg de ERA)"</f>
        <v xml:space="preserve"> Vitamina A (μg de ERA)</v>
      </c>
      <c r="C35" s="40" t="s">
        <v>51</v>
      </c>
      <c r="D35" s="41" t="s">
        <v>51</v>
      </c>
      <c r="E35" s="41">
        <v>0</v>
      </c>
    </row>
    <row r="36" spans="2:5" ht="12.75" customHeight="1" x14ac:dyDescent="0.2">
      <c r="B36" s="39" t="str">
        <f xml:space="preserve"> " Vitamina D (μg)"</f>
        <v xml:space="preserve"> Vitamina D (μg)</v>
      </c>
      <c r="C36" s="40">
        <v>0</v>
      </c>
      <c r="D36" s="41">
        <v>0</v>
      </c>
      <c r="E36" s="41">
        <v>0</v>
      </c>
    </row>
    <row r="37" spans="2:5" ht="12.75" customHeight="1" x14ac:dyDescent="0.2">
      <c r="B37" s="39" t="str">
        <f xml:space="preserve"> " Vitamina E (mg)"</f>
        <v xml:space="preserve"> Vitamina E (mg)</v>
      </c>
      <c r="C37" s="40" t="s">
        <v>52</v>
      </c>
      <c r="D37" s="41" t="s">
        <v>52</v>
      </c>
      <c r="E37" s="41">
        <v>0</v>
      </c>
    </row>
    <row r="38" spans="2:5" ht="12.75" customHeight="1" x14ac:dyDescent="0.2">
      <c r="B38" s="39" t="str">
        <f xml:space="preserve"> " Vitamina K (μg)"</f>
        <v xml:space="preserve"> Vitamina K (μg)</v>
      </c>
      <c r="C38" s="40" t="s">
        <v>53</v>
      </c>
      <c r="D38" s="41" t="s">
        <v>53</v>
      </c>
      <c r="E38" s="41">
        <v>0</v>
      </c>
    </row>
    <row r="39" spans="2:5" ht="12.75" customHeight="1" x14ac:dyDescent="0.2">
      <c r="B39" s="39" t="str">
        <f xml:space="preserve"> " Vitamina C (mg)"</f>
        <v xml:space="preserve"> Vitamina C (mg)</v>
      </c>
      <c r="C39" s="40">
        <v>0</v>
      </c>
      <c r="D39" s="41">
        <v>0</v>
      </c>
      <c r="E39" s="41">
        <v>0</v>
      </c>
    </row>
    <row r="40" spans="2:5" ht="12.75" customHeight="1" x14ac:dyDescent="0.2">
      <c r="B40" s="39" t="str">
        <f xml:space="preserve"> " Tiamina (mg)"</f>
        <v xml:space="preserve"> Tiamina (mg)</v>
      </c>
      <c r="C40" s="40">
        <v>0</v>
      </c>
      <c r="D40" s="41">
        <v>0</v>
      </c>
      <c r="E40" s="41">
        <v>0</v>
      </c>
    </row>
    <row r="41" spans="2:5" ht="12.75" customHeight="1" x14ac:dyDescent="0.2">
      <c r="B41" s="39" t="str">
        <f xml:space="preserve"> " Riboflavina (mg)"</f>
        <v xml:space="preserve"> Riboflavina (mg)</v>
      </c>
      <c r="C41" s="40" t="s">
        <v>52</v>
      </c>
      <c r="D41" s="41" t="s">
        <v>52</v>
      </c>
      <c r="E41" s="41">
        <v>1</v>
      </c>
    </row>
    <row r="42" spans="2:5" ht="12.75" customHeight="1" x14ac:dyDescent="0.2">
      <c r="B42" s="39" t="str">
        <f xml:space="preserve"> " Niacina (mg de NE)"</f>
        <v xml:space="preserve"> Niacina (mg de NE)</v>
      </c>
      <c r="C42" s="40" t="s">
        <v>54</v>
      </c>
      <c r="D42" s="41" t="s">
        <v>65</v>
      </c>
      <c r="E42" s="41">
        <v>15</v>
      </c>
    </row>
    <row r="43" spans="2:5" ht="12.75" customHeight="1" x14ac:dyDescent="0.2">
      <c r="B43" s="39" t="str">
        <f xml:space="preserve"> " Vitamina B6 (mg)"</f>
        <v xml:space="preserve"> Vitamina B6 (mg)</v>
      </c>
      <c r="C43" s="40" t="s">
        <v>52</v>
      </c>
      <c r="D43" s="41" t="s">
        <v>52</v>
      </c>
      <c r="E43" s="41">
        <v>1</v>
      </c>
    </row>
    <row r="44" spans="2:5" ht="12.75" customHeight="1" x14ac:dyDescent="0.2">
      <c r="B44" s="39" t="str">
        <f xml:space="preserve"> " Biotina (μg)"</f>
        <v xml:space="preserve"> Biotina (μg)</v>
      </c>
      <c r="C44" s="40">
        <v>0</v>
      </c>
      <c r="D44" s="41">
        <v>0</v>
      </c>
      <c r="E44" s="41">
        <v>0</v>
      </c>
    </row>
    <row r="45" spans="2:5" ht="12.75" customHeight="1" x14ac:dyDescent="0.2">
      <c r="B45" s="39" t="str">
        <f xml:space="preserve"> " Ácido fólico (μg de DFE)"</f>
        <v xml:space="preserve"> Ácido fólico (μg de DFE)</v>
      </c>
      <c r="C45" s="40">
        <v>0</v>
      </c>
      <c r="D45" s="41">
        <v>0</v>
      </c>
      <c r="E45" s="41">
        <v>0</v>
      </c>
    </row>
    <row r="46" spans="2:5" ht="12.75" customHeight="1" x14ac:dyDescent="0.2">
      <c r="B46" s="39" t="str">
        <f xml:space="preserve"> " Ácido pantotênico (mg)"</f>
        <v xml:space="preserve"> Ácido pantotênico (mg)</v>
      </c>
      <c r="C46" s="40" t="s">
        <v>51</v>
      </c>
      <c r="D46" s="41" t="s">
        <v>51</v>
      </c>
      <c r="E46" s="41">
        <v>0</v>
      </c>
    </row>
    <row r="47" spans="2:5" ht="12.75" customHeight="1" x14ac:dyDescent="0.2">
      <c r="B47" s="39" t="str">
        <f xml:space="preserve"> " Vitamina B12 (μg)"</f>
        <v xml:space="preserve"> Vitamina B12 (μg)</v>
      </c>
      <c r="C47" s="40">
        <v>0</v>
      </c>
      <c r="D47" s="41">
        <v>0</v>
      </c>
      <c r="E47" s="41">
        <v>0</v>
      </c>
    </row>
    <row r="48" spans="2:5" ht="12.75" customHeight="1" x14ac:dyDescent="0.2">
      <c r="B48" s="39" t="str">
        <f xml:space="preserve"> " Cálcio (mg)"</f>
        <v xml:space="preserve"> Cálcio (mg)</v>
      </c>
      <c r="C48" s="40" t="s">
        <v>55</v>
      </c>
      <c r="D48" s="41" t="s">
        <v>55</v>
      </c>
      <c r="E48" s="41">
        <v>2</v>
      </c>
    </row>
    <row r="49" spans="2:5" ht="12.75" customHeight="1" x14ac:dyDescent="0.2">
      <c r="B49" s="39" t="str">
        <f xml:space="preserve"> " Cloreto (mg)"</f>
        <v xml:space="preserve"> Cloreto (mg)</v>
      </c>
      <c r="C49" s="40">
        <v>0</v>
      </c>
      <c r="D49" s="41">
        <v>0</v>
      </c>
      <c r="E49" s="41">
        <v>0</v>
      </c>
    </row>
    <row r="50" spans="2:5" ht="12.75" customHeight="1" x14ac:dyDescent="0.2">
      <c r="B50" s="39" t="str">
        <f xml:space="preserve"> " Cobre (μg)"</f>
        <v xml:space="preserve"> Cobre (μg)</v>
      </c>
      <c r="C50" s="40" t="s">
        <v>56</v>
      </c>
      <c r="D50" s="41" t="s">
        <v>56</v>
      </c>
      <c r="E50" s="41">
        <v>0</v>
      </c>
    </row>
    <row r="51" spans="2:5" ht="12.75" customHeight="1" x14ac:dyDescent="0.2">
      <c r="B51" s="39" t="str">
        <f xml:space="preserve"> " Ferro (mg)"</f>
        <v xml:space="preserve"> Ferro (mg)</v>
      </c>
      <c r="C51" s="40" t="s">
        <v>57</v>
      </c>
      <c r="D51" s="41" t="s">
        <v>57</v>
      </c>
      <c r="E51" s="41">
        <v>6</v>
      </c>
    </row>
    <row r="52" spans="2:5" ht="12.75" customHeight="1" x14ac:dyDescent="0.2">
      <c r="B52" s="39" t="str">
        <f xml:space="preserve"> " Flúor (mg)"</f>
        <v xml:space="preserve"> Flúor (mg)</v>
      </c>
      <c r="C52" s="40" t="s">
        <v>51</v>
      </c>
      <c r="D52" s="41" t="s">
        <v>51</v>
      </c>
      <c r="E52" s="41">
        <v>1</v>
      </c>
    </row>
    <row r="53" spans="2:5" ht="12.75" customHeight="1" x14ac:dyDescent="0.2">
      <c r="B53" s="39" t="str">
        <f xml:space="preserve"> " Fósforo (mg)"</f>
        <v xml:space="preserve"> Fósforo (mg)</v>
      </c>
      <c r="C53" s="40" t="s">
        <v>58</v>
      </c>
      <c r="D53" s="41" t="s">
        <v>58</v>
      </c>
      <c r="E53" s="41">
        <v>7</v>
      </c>
    </row>
    <row r="54" spans="2:5" ht="12.75" customHeight="1" x14ac:dyDescent="0.2">
      <c r="B54" s="39" t="str">
        <f xml:space="preserve"> " Magnésio (mg)"</f>
        <v xml:space="preserve"> Magnésio (mg)</v>
      </c>
      <c r="C54" s="40" t="s">
        <v>59</v>
      </c>
      <c r="D54" s="41" t="s">
        <v>59</v>
      </c>
      <c r="E54" s="41">
        <v>10</v>
      </c>
    </row>
    <row r="55" spans="2:5" ht="12.75" customHeight="1" x14ac:dyDescent="0.2">
      <c r="B55" s="39" t="str">
        <f xml:space="preserve"> " Manganês (mg)"</f>
        <v xml:space="preserve"> Manganês (mg)</v>
      </c>
      <c r="C55" s="40" t="s">
        <v>60</v>
      </c>
      <c r="D55" s="41" t="s">
        <v>60</v>
      </c>
      <c r="E55" s="41">
        <v>10</v>
      </c>
    </row>
    <row r="56" spans="2:5" ht="12.75" customHeight="1" x14ac:dyDescent="0.2">
      <c r="B56" s="39" t="str">
        <f xml:space="preserve"> " Molibdênio (μg)"</f>
        <v xml:space="preserve"> Molibdênio (μg)</v>
      </c>
      <c r="C56" s="40">
        <v>0</v>
      </c>
      <c r="D56" s="41">
        <v>0</v>
      </c>
      <c r="E56" s="41">
        <v>0</v>
      </c>
    </row>
    <row r="57" spans="2:5" ht="12.75" customHeight="1" x14ac:dyDescent="0.2">
      <c r="B57" s="39" t="str">
        <f xml:space="preserve"> " Potássio (mg)"</f>
        <v xml:space="preserve"> Potássio (mg)</v>
      </c>
      <c r="C57" s="40" t="s">
        <v>61</v>
      </c>
      <c r="D57" s="41" t="s">
        <v>61</v>
      </c>
      <c r="E57" s="41">
        <v>10</v>
      </c>
    </row>
    <row r="58" spans="2:5" ht="12.75" customHeight="1" x14ac:dyDescent="0.2">
      <c r="B58" s="39" t="str">
        <f xml:space="preserve"> " Selênio (μg)"</f>
        <v xml:space="preserve"> Selênio (μg)</v>
      </c>
      <c r="C58" s="40" t="s">
        <v>62</v>
      </c>
      <c r="D58" s="41" t="s">
        <v>62</v>
      </c>
      <c r="E58" s="41">
        <v>3</v>
      </c>
    </row>
    <row r="59" spans="2:5" ht="12.75" customHeight="1" x14ac:dyDescent="0.2">
      <c r="B59" s="39" t="str">
        <f xml:space="preserve"> " Zinco (mg)"</f>
        <v xml:space="preserve"> Zinco (mg)</v>
      </c>
      <c r="C59" s="40" t="s">
        <v>63</v>
      </c>
      <c r="D59" s="41" t="s">
        <v>63</v>
      </c>
      <c r="E59" s="41">
        <v>2</v>
      </c>
    </row>
    <row r="60" spans="2:5" ht="12.75" customHeight="1" x14ac:dyDescent="0.2">
      <c r="B60" s="39" t="str">
        <f xml:space="preserve"> " Colina (mg)"</f>
        <v xml:space="preserve"> Colina (mg)</v>
      </c>
      <c r="C60" s="40" t="s">
        <v>64</v>
      </c>
      <c r="D60" s="41" t="s">
        <v>64</v>
      </c>
      <c r="E60" s="41">
        <v>2</v>
      </c>
    </row>
    <row r="61" spans="2:5" ht="12.75" customHeight="1" x14ac:dyDescent="0.2">
      <c r="B61" s="42"/>
      <c r="C61" s="43"/>
      <c r="D61" s="43"/>
      <c r="E61" s="43"/>
    </row>
  </sheetData>
  <mergeCells count="1">
    <mergeCell ref="B2:G2"/>
  </mergeCells>
  <pageMargins left="0.78749999999999998" right="0.78749999999999998" top="1.0527777777778" bottom="1.0527777777778" header="0.78749999999999998" footer="0.78749999999999998"/>
  <pageSetup paperSize="9" orientation="portrait"/>
  <headerFooter>
    <oddHeader>&amp;C&amp;"Times New Roman,Regular"&amp;12&amp;A</oddHeader>
    <oddFooter>&amp;C&amp;"Times New Roman,Regular"&amp;12Página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E24"/>
  <sheetViews>
    <sheetView topLeftCell="A16" workbookViewId="0">
      <selection activeCell="C35" sqref="C35"/>
    </sheetView>
  </sheetViews>
  <sheetFormatPr defaultRowHeight="12.75" x14ac:dyDescent="0.2"/>
  <cols>
    <col min="1" max="2" width="9.140625" style="44"/>
    <col min="3" max="5" width="23.85546875" style="44" customWidth="1"/>
    <col min="6" max="16384" width="9.140625" style="44"/>
  </cols>
  <sheetData>
    <row r="6" spans="3:5" x14ac:dyDescent="0.2">
      <c r="C6" s="58" t="s">
        <v>1</v>
      </c>
      <c r="D6" s="58"/>
      <c r="E6" s="58"/>
    </row>
    <row r="7" spans="3:5" ht="13.5" thickBot="1" x14ac:dyDescent="0.25">
      <c r="C7" s="59" t="s">
        <v>2</v>
      </c>
      <c r="D7" s="59"/>
      <c r="E7" s="59"/>
    </row>
    <row r="8" spans="3:5" ht="13.5" thickTop="1" x14ac:dyDescent="0.2">
      <c r="C8" s="60"/>
      <c r="D8" s="60"/>
      <c r="E8" s="60"/>
    </row>
    <row r="9" spans="3:5" x14ac:dyDescent="0.2">
      <c r="C9" s="45"/>
      <c r="D9" s="46" t="s">
        <v>3</v>
      </c>
      <c r="E9" s="47" t="s">
        <v>4</v>
      </c>
    </row>
    <row r="10" spans="3:5" x14ac:dyDescent="0.2">
      <c r="C10" s="48" t="s">
        <v>5</v>
      </c>
      <c r="D10" s="49" t="s">
        <v>6</v>
      </c>
      <c r="E10" s="50">
        <v>19</v>
      </c>
    </row>
    <row r="11" spans="3:5" x14ac:dyDescent="0.2">
      <c r="C11" s="48" t="s">
        <v>7</v>
      </c>
      <c r="D11" s="49" t="s">
        <v>8</v>
      </c>
      <c r="E11" s="50">
        <v>31</v>
      </c>
    </row>
    <row r="12" spans="3:5" x14ac:dyDescent="0.2">
      <c r="C12" s="51" t="s">
        <v>9</v>
      </c>
      <c r="D12" s="49" t="s">
        <v>10</v>
      </c>
      <c r="E12" s="50"/>
    </row>
    <row r="13" spans="3:5" x14ac:dyDescent="0.2">
      <c r="C13" s="51" t="s">
        <v>11</v>
      </c>
      <c r="D13" s="49" t="s">
        <v>10</v>
      </c>
      <c r="E13" s="50">
        <v>160</v>
      </c>
    </row>
    <row r="14" spans="3:5" x14ac:dyDescent="0.2">
      <c r="C14" s="48" t="s">
        <v>12</v>
      </c>
      <c r="D14" s="49" t="s">
        <v>13</v>
      </c>
      <c r="E14" s="50">
        <v>3</v>
      </c>
    </row>
    <row r="15" spans="3:5" x14ac:dyDescent="0.2">
      <c r="C15" s="48" t="s">
        <v>14</v>
      </c>
      <c r="D15" s="49" t="s">
        <v>15</v>
      </c>
      <c r="E15" s="50">
        <v>1</v>
      </c>
    </row>
    <row r="16" spans="3:5" x14ac:dyDescent="0.2">
      <c r="C16" s="51" t="s">
        <v>16</v>
      </c>
      <c r="D16" s="49" t="s">
        <v>17</v>
      </c>
      <c r="E16" s="50">
        <v>2</v>
      </c>
    </row>
    <row r="17" spans="3:5" x14ac:dyDescent="0.2">
      <c r="C17" s="51" t="s">
        <v>18</v>
      </c>
      <c r="D17" s="49">
        <v>0</v>
      </c>
      <c r="E17" s="50">
        <v>0</v>
      </c>
    </row>
    <row r="18" spans="3:5" x14ac:dyDescent="0.2">
      <c r="C18" s="48" t="s">
        <v>19</v>
      </c>
      <c r="D18" s="49" t="s">
        <v>20</v>
      </c>
      <c r="E18" s="50">
        <v>5</v>
      </c>
    </row>
    <row r="19" spans="3:5" ht="13.5" thickBot="1" x14ac:dyDescent="0.25">
      <c r="C19" s="52" t="s">
        <v>21</v>
      </c>
      <c r="D19" s="49" t="s">
        <v>22</v>
      </c>
      <c r="E19" s="50">
        <v>17</v>
      </c>
    </row>
    <row r="20" spans="3:5" x14ac:dyDescent="0.2">
      <c r="C20" s="61" t="s">
        <v>23</v>
      </c>
      <c r="D20" s="61"/>
      <c r="E20" s="61"/>
    </row>
    <row r="23" spans="3:5" x14ac:dyDescent="0.2">
      <c r="D23" s="44">
        <v>100</v>
      </c>
      <c r="E23" s="44">
        <v>386</v>
      </c>
    </row>
    <row r="24" spans="3:5" x14ac:dyDescent="0.2">
      <c r="D24" s="44">
        <v>20</v>
      </c>
      <c r="E24" s="44">
        <f>D24*E23/D23</f>
        <v>77.2</v>
      </c>
    </row>
  </sheetData>
  <mergeCells count="4">
    <mergeCell ref="C6:E6"/>
    <mergeCell ref="C7:E7"/>
    <mergeCell ref="C8:E8"/>
    <mergeCell ref="C20:E20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Tabela</vt:lpstr>
      <vt:lpstr>Relatório Completo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DESKTOP</dc:creator>
  <cp:keywords/>
  <dc:description/>
  <cp:lastModifiedBy>DESKTOP</cp:lastModifiedBy>
  <dcterms:created xsi:type="dcterms:W3CDTF">2023-09-12T21:55:56Z</dcterms:created>
  <dcterms:modified xsi:type="dcterms:W3CDTF">2026-01-07T16:57:39Z</dcterms:modified>
  <cp:category/>
</cp:coreProperties>
</file>